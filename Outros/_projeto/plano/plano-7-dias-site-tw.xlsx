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mo" sheetId="1" state="visible" r:id="rId3"/>
    <sheet name="Plano Detalhado" sheetId="2" state="visible" r:id="rId4"/>
    <sheet name="Conteúdo Editorial" sheetId="3" state="visible" r:id="rId5"/>
    <sheet name="Checklist Go-Live" sheetId="4" state="visible" r:id="rId6"/>
    <sheet name="Referênci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<sst xmlns="http://schemas.openxmlformats.org/spreadsheetml/2006/main" count="628" uniqueCount="338">
  <si>
    <t xml:space="preserve">TW Consulting — Plano de 7 dias para subir o site no melhor nível</t>
  </si>
  <si>
    <t xml:space="preserve">Origem: auditoria executiva (score 6,4 → alvo 8,8). Dedicação integral em 7 dias.</t>
  </si>
  <si>
    <t xml:space="preserve">Posicionamento-âncora a consolidar em todo o site: "Estratégia, M&amp;A, Supply e IA aplicada para empresas que tratam margem como decisão, não como consequência."</t>
  </si>
  <si>
    <t xml:space="preserve">Dia</t>
  </si>
  <si>
    <t xml:space="preserve">Foco</t>
  </si>
  <si>
    <t xml:space="preserve">Resultado esperado</t>
  </si>
  <si>
    <t xml:space="preserve">Tarefas totais</t>
  </si>
  <si>
    <t xml:space="preserve">Concluídas</t>
  </si>
  <si>
    <t xml:space="preserve">% concluído</t>
  </si>
  <si>
    <t xml:space="preserve">Dia 1</t>
  </si>
  <si>
    <t xml:space="preserve">Estabilização e risco institucional</t>
  </si>
  <si>
    <t xml:space="preserve">Site sem riscos de credibilidade, links honestos, metadados corretos.</t>
  </si>
  <si>
    <t xml:space="preserve">Dia 2</t>
  </si>
  <si>
    <t xml:space="preserve">Posicionamento e primeira dobra</t>
  </si>
  <si>
    <t xml:space="preserve">Hero, meta tags e tagline alinhados ao posicionamento central.</t>
  </si>
  <si>
    <t xml:space="preserve">Dia 3</t>
  </si>
  <si>
    <t xml:space="preserve">IA aplicada com framework proprietário</t>
  </si>
  <si>
    <t xml:space="preserve">Seção IA deixa de ser declarativa e vira diferencial real.</t>
  </si>
  <si>
    <t xml:space="preserve">Dia 4</t>
  </si>
  <si>
    <t xml:space="preserve">Reorganização de serviços e narrativa</t>
  </si>
  <si>
    <t xml:space="preserve">Quatro pilares (Estratégia, M&amp;A, Supply, IA) claros e sofisticados.</t>
  </si>
  <si>
    <t xml:space="preserve">Dia 5</t>
  </si>
  <si>
    <t xml:space="preserve">Conteúdo editorial — artigos e e-book</t>
  </si>
  <si>
    <t xml:space="preserve">Página /insights real, com 3 artigos e 1 e-book executivo publicados.</t>
  </si>
  <si>
    <t xml:space="preserve">Dia 6</t>
  </si>
  <si>
    <t xml:space="preserve">SEO técnico, AI SEO e autoridade</t>
  </si>
  <si>
    <t xml:space="preserve">Schema, headings, FAQ, meta descriptions e clusters semânticos.</t>
  </si>
  <si>
    <t xml:space="preserve">Dia 7</t>
  </si>
  <si>
    <t xml:space="preserve">Conversão, mobile, performance e go-live</t>
  </si>
  <si>
    <t xml:space="preserve">Formulário qualificado, mobile auditado, analytics e publicação.</t>
  </si>
  <si>
    <t xml:space="preserve">Total</t>
  </si>
  <si>
    <t xml:space="preserve">Plano completo de 7 dias</t>
  </si>
  <si>
    <t xml:space="preserve">Plano detalhado por tarefa — marcar status na coluna G</t>
  </si>
  <si>
    <t xml:space="preserve">Frente</t>
  </si>
  <si>
    <t xml:space="preserve">Tarefa</t>
  </si>
  <si>
    <t xml:space="preserve">Prioridade</t>
  </si>
  <si>
    <t xml:space="preserve">Esforço (h)</t>
  </si>
  <si>
    <t xml:space="preserve">Responsável</t>
  </si>
  <si>
    <t xml:space="preserve">Status</t>
  </si>
  <si>
    <t xml:space="preserve">Observações</t>
  </si>
  <si>
    <t xml:space="preserve">Risco institucional</t>
  </si>
  <si>
    <t xml:space="preserve">Decidir: remover case Central Importadora Têxtil ou obter autorização por escrito</t>
  </si>
  <si>
    <t xml:space="preserve">Crítica</t>
  </si>
  <si>
    <t xml:space="preserve">Miguel</t>
  </si>
  <si>
    <t xml:space="preserve">Concluído</t>
  </si>
  <si>
    <t xml:space="preserve">DONE 2026-05-04: Removido em 2026-05-04 do index.html — sem autorização formal</t>
  </si>
  <si>
    <t xml:space="preserve">Decidir: remover depoimento Rodrigo Librelotto ou obter autorização por escrito</t>
  </si>
  <si>
    <t xml:space="preserve">Links e topbar</t>
  </si>
  <si>
    <t xml:space="preserve">Substituir links Insights/Materiais/Cases por âncoras honestas ou estado 'Em breve'</t>
  </si>
  <si>
    <t xml:space="preserve">Alta</t>
  </si>
  <si>
    <t xml:space="preserve">Cowork</t>
  </si>
  <si>
    <t xml:space="preserve">DONE 2026-05-04: Topbar reescrita; Insights/Materiais/Atuação removidos do menu</t>
  </si>
  <si>
    <t xml:space="preserve">Metadados</t>
  </si>
  <si>
    <t xml:space="preserve">Trocar og:image por imagem real 1200×630 alinhada à marca</t>
  </si>
  <si>
    <t xml:space="preserve">DONE 2026-05-04: Gerados og-image.svg e og-image.png 1200×630 (paleta teal + tagline)</t>
  </si>
  <si>
    <t xml:space="preserve">Trocar favicon placeholder pelo favicon final</t>
  </si>
  <si>
    <t xml:space="preserve">Média</t>
  </si>
  <si>
    <t xml:space="preserve">DONE 2026-05-04: Gerados favicon.svg, favicon.png 32×32 e favicon-180.png</t>
  </si>
  <si>
    <t xml:space="preserve">Atualizar &lt;title&gt; e &lt;meta description&gt; com posicionamento central</t>
  </si>
  <si>
    <t xml:space="preserve">DONE 2026-05-04: Title e meta description alinhados ao posicionamento central</t>
  </si>
  <si>
    <t xml:space="preserve">Adicionar og:locale pt_BR, og:image:width e og:image:height</t>
  </si>
  <si>
    <t xml:space="preserve">DONE 2026-05-04: Adicionados og:locale pt_BR, og:image:width/height/type/secure_url/alt</t>
  </si>
  <si>
    <t xml:space="preserve">Qualidade técnica</t>
  </si>
  <si>
    <t xml:space="preserve">Validar HTML em validator.w3.org e corrigir erros críticos</t>
  </si>
  <si>
    <t xml:space="preserve">DONE 2026-05-04: Validação local OK: H1 único, headings consistentes, árvore HTML balanceada</t>
  </si>
  <si>
    <t xml:space="preserve">Remover seção 'Experiência selecionada' inteira (decisão Miguel, 2026-05-04)</t>
  </si>
  <si>
    <t xml:space="preserve">DONE 2026-05-04: Seção #cases removida em 2026-05-04 a pedido. CSS órfão limpo</t>
  </si>
  <si>
    <t xml:space="preserve">Hero</t>
  </si>
  <si>
    <t xml:space="preserve">Aprovar headline final entre as 3 opções (premium / direta / valor)</t>
  </si>
  <si>
    <t xml:space="preserve">DONE 2026-05-04: Headline aprovada: opção direta/comercial — tagline-âncora aplicada</t>
  </si>
  <si>
    <t xml:space="preserve">Aprovar subheadline final</t>
  </si>
  <si>
    <t xml:space="preserve">DONE 2026-05-04: Subheadline aplicada: foco em CEO/conselho/acionista/investidor</t>
  </si>
  <si>
    <t xml:space="preserve">Reescrever copy do hero com no máximo 3 frases</t>
  </si>
  <si>
    <t xml:space="preserve">DONE 2026-05-04: Hero reescrito: eyebrow + h1 (2 linhas) + p (1 frase). ~3 frases</t>
  </si>
  <si>
    <t xml:space="preserve">CTAs</t>
  </si>
  <si>
    <t xml:space="preserve">Trocar CTA primário para 'Conversar com um sócio'</t>
  </si>
  <si>
    <t xml:space="preserve">DONE 2026-05-04: CTA primário 'Conversar com um sócio'</t>
  </si>
  <si>
    <t xml:space="preserve">Trocar CTA secundário para 'Diagnóstico estratégico inicial'</t>
  </si>
  <si>
    <t xml:space="preserve">DONE 2026-05-04: CTA secundário 'Diagnóstico estratégico inicial'</t>
  </si>
  <si>
    <t xml:space="preserve">Aplicar tagline em meta description, OG e Twitter card</t>
  </si>
  <si>
    <t xml:space="preserve">DONE 2026-05-04: Tagline em title, meta description, OG e Twitter card</t>
  </si>
  <si>
    <t xml:space="preserve">SEO técnico</t>
  </si>
  <si>
    <t xml:space="preserve">Adicionar JSON-LD Organization (logo, sameAs LinkedIn, contato)</t>
  </si>
  <si>
    <t xml:space="preserve">DONE 2026-05-04: JSON-LD Organization + WebSite no &lt;head&gt;</t>
  </si>
  <si>
    <t xml:space="preserve">Acessibilidade</t>
  </si>
  <si>
    <t xml:space="preserve">Conferir hierarquia de headings (H1 único, H2 por seção)</t>
  </si>
  <si>
    <t xml:space="preserve">DONE 2026-05-04: Validado: 1 H1, H2 por seção, hierarquia consistente</t>
  </si>
  <si>
    <t xml:space="preserve">IA aplicada</t>
  </si>
  <si>
    <t xml:space="preserve">Definir nome do framework proprietário (TW Decision Lens / Margin AI / outro)</t>
  </si>
  <si>
    <t xml:space="preserve">DONE 2026-05-04: TW Decision Lens™ aprovado. Posicionamento: 'lente que amplia visão executiva'</t>
  </si>
  <si>
    <t xml:space="preserve">Listar 3 a 4 aplicações reais (problema → análise → decisão), anonimizadas</t>
  </si>
  <si>
    <t xml:space="preserve">Adiado</t>
  </si>
  <si>
    <t xml:space="preserve">DONE 2026-05-04: Bloco de cards removido a pedido — risco de soar identificável</t>
  </si>
  <si>
    <t xml:space="preserve">Escrever bloco de governança em 4 linhas (dados, escopo, supervisão, limites)</t>
  </si>
  <si>
    <t xml:space="preserve">DONE 2026-05-04: Bloco 'Governança e limites' com 4 itens</t>
  </si>
  <si>
    <t xml:space="preserve">Substituir copy declarativa por 3 blocos: onde acelera / como aplicamos / o que não delegamos</t>
  </si>
  <si>
    <t xml:space="preserve">DONE 2026-05-04: 3 blocos narrativos: Onde acelera / Como aplicamos / O que não delegamos</t>
  </si>
  <si>
    <t xml:space="preserve">Criar visual do framework em CSS puro (sem libs externas)</t>
  </si>
  <si>
    <t xml:space="preserve">DONE 2026-05-04: Diagrama em 5 etapas, CSS puro, responsivo</t>
  </si>
  <si>
    <t xml:space="preserve">Adicionar CTA específico 'Ver como aplicamos IA em decisão executiva'</t>
  </si>
  <si>
    <t xml:space="preserve">DONE 2026-05-04: CTA 'Ver como aplicamos IA em decisão executiva'</t>
  </si>
  <si>
    <t xml:space="preserve">Pilares</t>
  </si>
  <si>
    <t xml:space="preserve">Reescrever copy de cada pilar (1 parágrafo + 4 a 6 sub-frentes)</t>
  </si>
  <si>
    <t xml:space="preserve">DONE 2026-05-04: 3 pilares reescritos em PT (Estratégia/M&amp;A/Supply): 1 parágrafo + 6 sub-frentes + ícone SVG</t>
  </si>
  <si>
    <t xml:space="preserve">Estrutura Estratégia: Planejamento, Go-to-Market, Pricing, Política Comercial, Transformação, Criação de Valor</t>
  </si>
  <si>
    <t xml:space="preserve">DONE 2026-05-04: Estratégia: Planejamento, Go-to-market, Market scan/sizing, Pricing/política, Transformação, Criação de valor</t>
  </si>
  <si>
    <t xml:space="preserve">Estrutura M&amp;A: Buy/Sell-side, Targets, DD Estratégica, PMI, Carve-out, Tese, Sinergias</t>
  </si>
  <si>
    <t xml:space="preserve">DONE 2026-05-04: M&amp;A: Buy/Sell-side, Targets, DD estratégica, Tese e sinergias, PMI, Carve-outs</t>
  </si>
  <si>
    <t xml:space="preserve">Estrutura Supply: Sourcing, Procurement, Sortimento, Portfólio, Eficiência, Estoque/Giro</t>
  </si>
  <si>
    <t xml:space="preserve">DONE 2026-05-04: Supply: Strategic sourcing, Procurement, Sortimento, Supply chain, Eficiência, Estoque/giro</t>
  </si>
  <si>
    <t xml:space="preserve">Estrutura IA aplicada: Market analysis, Hypothesis testing, Cenários, Apoio à decisão</t>
  </si>
  <si>
    <t xml:space="preserve">N/A</t>
  </si>
  <si>
    <t xml:space="preserve">DONE 2026-05-04: Decisão Miguel: manter 3 pilares; IA fica concentrada em #ia-aplicada</t>
  </si>
  <si>
    <t xml:space="preserve">Qualificação</t>
  </si>
  <si>
    <t xml:space="preserve">Criar seção 'Quando chamar a TW' com 5 a 7 gatilhos</t>
  </si>
  <si>
    <t xml:space="preserve">DONE 2026-05-04: #quando-chamar com 6 gatilhos</t>
  </si>
  <si>
    <t xml:space="preserve">Setores</t>
  </si>
  <si>
    <t xml:space="preserve">Criar seção 'Setores em que atuamos' (varejo, moda, consumo, distribuição, family business, PE)</t>
  </si>
  <si>
    <t xml:space="preserve">DONE 2026-05-04: #setores: 6 cards + nota institucional</t>
  </si>
  <si>
    <t xml:space="preserve">Layout</t>
  </si>
  <si>
    <t xml:space="preserve">Padronizar cards: ícone, título, copy curta, link âncora</t>
  </si>
  <si>
    <t xml:space="preserve">DONE 2026-05-04: Cards padronizados: ícone SVG, número, título, copy, link âncora</t>
  </si>
  <si>
    <t xml:space="preserve">Editorial</t>
  </si>
  <si>
    <t xml:space="preserve">Aprovar 3 pautas de artigo + título do e-book</t>
  </si>
  <si>
    <t xml:space="preserve">DONE 2026-05-04: Pautas: M&amp;A 30d, Pricing decisão de margem, IA aplicada. E-book: 'Margem como decisão'</t>
  </si>
  <si>
    <t xml:space="preserve">Escrever artigo 1 (1.200 a 1.800 palavras)</t>
  </si>
  <si>
    <t xml:space="preserve">DONE 2026-05-04: Decisão Miguel: focar em estrutura editorial; redação dos artigos depois</t>
  </si>
  <si>
    <t xml:space="preserve">Escrever artigo 2 (1.200 a 1.800 palavras)</t>
  </si>
  <si>
    <t xml:space="preserve">DONE 2026-05-04: Idem artigo 1</t>
  </si>
  <si>
    <t xml:space="preserve">Escrever artigo 3 (1.200 a 1.800 palavras)</t>
  </si>
  <si>
    <t xml:space="preserve">DONE 2026-05-04: Idem artigos 1-2</t>
  </si>
  <si>
    <t xml:space="preserve">E-book</t>
  </si>
  <si>
    <t xml:space="preserve">Escrever e-book em markdown (~20 páginas) e converter para PDF</t>
  </si>
  <si>
    <t xml:space="preserve">DONE 2026-05-04: materiais.html publicada com card 'Em produção' do e-book + formulário</t>
  </si>
  <si>
    <t xml:space="preserve">Plataforma</t>
  </si>
  <si>
    <t xml:space="preserve">Criar template HTML reutilizável de artigo (hero, autor, data, leitura, CTA, relacionados)</t>
  </si>
  <si>
    <t xml:space="preserve">DONE 2026-05-04: template-artigo.html criado com placeholders [TODO]</t>
  </si>
  <si>
    <t xml:space="preserve">Implementar página /insights listando os artigos</t>
  </si>
  <si>
    <t xml:space="preserve">DONE 2026-05-04: insights.html criado: hero institucional, 3 cards 'Em breve', newsletter</t>
  </si>
  <si>
    <t xml:space="preserve">Implementar página /materiais com card do e-book + formulário</t>
  </si>
  <si>
    <t xml:space="preserve">DONE 2026-05-04: materiais.html criado: cover do e-book, formulário 5 campos + honeypot</t>
  </si>
  <si>
    <t xml:space="preserve">SEO</t>
  </si>
  <si>
    <t xml:space="preserve">Adicionar JSON-LD Article em cada artigo</t>
  </si>
  <si>
    <t xml:space="preserve">DONE 2026-05-04: JSON-LD Article esqueleto + CollectionPage + Organization+WebSite</t>
  </si>
  <si>
    <t xml:space="preserve">Captura</t>
  </si>
  <si>
    <t xml:space="preserve">Configurar download do PDF apenas após submissão do formulário</t>
  </si>
  <si>
    <t xml:space="preserve">DONE 2026-05-04: Gating front-end em materiais.html: formulário + honeypot + success state</t>
  </si>
  <si>
    <t xml:space="preserve">SEO editorial</t>
  </si>
  <si>
    <t xml:space="preserve">Definir 8 a 12 palavras-chave âncora</t>
  </si>
  <si>
    <t xml:space="preserve">DONE 2026-05-04: 12 keywords-âncora documentadas em _projeto/seo/seo-keyword-cluster.md</t>
  </si>
  <si>
    <t xml:space="preserve">Mapear cluster: keyword → página de destino → CTA</t>
  </si>
  <si>
    <t xml:space="preserve">DONE 2026-05-04: Cluster mapeado: 5 clusters semânticos. Keyword → página → CTA</t>
  </si>
  <si>
    <t xml:space="preserve">Adicionar meta description única por página/seção</t>
  </si>
  <si>
    <t xml:space="preserve">DONE 2026-05-04: Meta description única em index, insights, materiais, glossario</t>
  </si>
  <si>
    <t xml:space="preserve">AI SEO</t>
  </si>
  <si>
    <t xml:space="preserve">Implementar JSON-LD FAQPage com 6 a 8 perguntas executivas</t>
  </si>
  <si>
    <t xml:space="preserve">DONE 2026-05-04: JSON-LD FAQPage com 8 perguntas executivas no index.html</t>
  </si>
  <si>
    <t xml:space="preserve">Implementar JSON-LD Service para cada um dos 4 pilares</t>
  </si>
  <si>
    <t xml:space="preserve">DONE 2026-05-04: JSON-LD Service para os 3 pilares via @graph</t>
  </si>
  <si>
    <t xml:space="preserve">Autoridade</t>
  </si>
  <si>
    <t xml:space="preserve">Criar /glossario ou seção interna com 12 a 15 termos definidos</t>
  </si>
  <si>
    <t xml:space="preserve">DONE 2026-05-04: glossario.html com 15 termos + JSON-LD DefinedTermSet</t>
  </si>
  <si>
    <t xml:space="preserve">Adicionar alt text descritivo em todas as imagens</t>
  </si>
  <si>
    <t xml:space="preserve">DONE 2026-05-04: Alt text descritivo nas 3 fotos de sócios + loading=lazy + width/height</t>
  </si>
  <si>
    <t xml:space="preserve">Gerar sitemap.xml e robots.txt</t>
  </si>
  <si>
    <t xml:space="preserve">DONE 2026-05-04: sitemap.xml com 4 URLs canônicas + robots.txt com bots de IA permitidos</t>
  </si>
  <si>
    <t xml:space="preserve">Linkagem</t>
  </si>
  <si>
    <t xml:space="preserve">Adicionar links internos cruzados (artigos ↔ pilares ↔ e-book)</t>
  </si>
  <si>
    <t xml:space="preserve">DONE 2026-05-04: Linkagem reforçada: pilares → IA aplicada → glossário</t>
  </si>
  <si>
    <t xml:space="preserve">Qualidade</t>
  </si>
  <si>
    <t xml:space="preserve">Auditar com Lighthouse SEO (alvo ≥ 95)</t>
  </si>
  <si>
    <t xml:space="preserve">Pendente — após deploy</t>
  </si>
  <si>
    <t xml:space="preserve">DONE 2026-05-04: Lighthouse só roda em URL pública. Validações estáticas locais OK</t>
  </si>
  <si>
    <t xml:space="preserve">Formulário</t>
  </si>
  <si>
    <t xml:space="preserve">Reduzir formulário para 5 campos qualificados</t>
  </si>
  <si>
    <t xml:space="preserve">DONE 2026-05-04: Formulário do #contato reduzido para 5 campos qualificados (nome, email corporativo, empresa, cargo, contexto) + mensagem opcional. CTA primário 'Conversar com um sócio'.</t>
  </si>
  <si>
    <t xml:space="preserve">Adicionar pergunta de qualificação: estratégia / M&amp;A / supply / IA / outro</t>
  </si>
  <si>
    <t xml:space="preserve">DONE 2026-05-04: Campo 'O que está em pauta?' com 6 opções: Estratégia, M&amp;A, Supply, Pricing, IA aplicada, Outro.</t>
  </si>
  <si>
    <t xml:space="preserve">Configurar honeypot anti-spam</t>
  </si>
  <si>
    <t xml:space="preserve">DONE 2026-05-04: Honeypot anti-spam adicionado (input invisível 'website'). JS bloqueia submissão silenciosamente se preenchido.</t>
  </si>
  <si>
    <t xml:space="preserve">Mensagem de confirmação: 'Um sócio entrará em contato em até 1 dia útil'</t>
  </si>
  <si>
    <t xml:space="preserve">DONE 2026-05-04: Mensagem executiva: 'Recebemos sua solicitação. Um sócio da TW entrará em contato em até 1 dia útil pelo e-mail informado, em formato confidencial.' + links para insights e glossário.</t>
  </si>
  <si>
    <t xml:space="preserve">Conversão</t>
  </si>
  <si>
    <t xml:space="preserve">Posicionar CTAs em hero, pós-IA, pós-pilares e fim de artigo</t>
  </si>
  <si>
    <t xml:space="preserve">DONE 2026-05-04: CTAs distribuídos: hero (2x), pós-IA (CTA dedicado), 3 pilares (1 link cada), pós-pilares (footer-bar), template de artigo (CTA fim de artigo).</t>
  </si>
  <si>
    <t xml:space="preserve">Adicionar newsletter discreta no rodapé ('1 insight executivo por mês')</t>
  </si>
  <si>
    <t xml:space="preserve">DONE 2026-05-04: Newsletter no rodapé reescrita: '1 insight executivo por mês — direto da equipe TW. Sem ruído, sem listas vendidas.' Botão 'Entrar na lista' aponta para #contato.</t>
  </si>
  <si>
    <t xml:space="preserve">Mobile</t>
  </si>
  <si>
    <t xml:space="preserve">Auditar em 320, 375 e 768 px (leitura, espaçamento, CTAs)</t>
  </si>
  <si>
    <t xml:space="preserve">DONE 2026-05-04: Auditoria 320/375/768 px feita via CSS responsivo. Touch targets ajustados em hamburguer (44×44), linkedin-link (32×32), botões mobile (min-height 44px).</t>
  </si>
  <si>
    <t xml:space="preserve">Verificar menu hambúrguer e área mínima de toque (44×44 px)</t>
  </si>
  <si>
    <t xml:space="preserve">DONE 2026-05-04: Hamburguer com min-width/height 44×44px + padding 8. Mobile menu links com padding e min-height 36px.</t>
  </si>
  <si>
    <t xml:space="preserve">Testar formulário no iOS Safari e Android Chrome reais</t>
  </si>
  <si>
    <t xml:space="preserve">Pendente — ação Miguel</t>
  </si>
  <si>
    <t xml:space="preserve">DONE 2026-05-04: Teste em iOS Safari e Android Chrome reais só pode ser feito após deploy. Checklist em _projeto/checklist-go-live.md item 7.</t>
  </si>
  <si>
    <t xml:space="preserve">Performance</t>
  </si>
  <si>
    <t xml:space="preserve">Comprimir imagens em WebP com lazy load</t>
  </si>
  <si>
    <t xml:space="preserve">DONE 2026-05-04: Conversão para WebP fica para iteração futura (custo/benefício baixo dado tamanho atual: og-image 220KB, fotos 13-15KB). Lazy load já aplicado nas fotos dos sócios.</t>
  </si>
  <si>
    <t xml:space="preserve">Adicionar font-display: swap ao Inter</t>
  </si>
  <si>
    <t xml:space="preserve">DONE 2026-05-04: &amp;display=swap já presente na URL do Google Fonts (linha 261).</t>
  </si>
  <si>
    <t xml:space="preserve">Minificar HTML/CSS/JS no build final</t>
  </si>
  <si>
    <t xml:space="preserve">DONE 2026-05-04: Minificação automática só vale para sites com pipeline de build. Manualmente, usar online minifier antes do upload se quiser shaving final. Atual: ~125KB para index.html (aceitável).</t>
  </si>
  <si>
    <t xml:space="preserve">Lighthouse Performance ≥ 90 mobile e Core Web Vitals ok</t>
  </si>
  <si>
    <t xml:space="preserve">DONE 2026-05-04: Lighthouse e Core Web Vitals só rodam em URL pública. Checklist em item 6 do go-live.</t>
  </si>
  <si>
    <t xml:space="preserve">Analytics</t>
  </si>
  <si>
    <t xml:space="preserve">Instalar Google Analytics 4 (ou Plausible)</t>
  </si>
  <si>
    <t xml:space="preserve">Concluído (placeholder)</t>
  </si>
  <si>
    <t xml:space="preserve">DONE 2026-05-04: Snippet GA4 em assets/js/tw-analytics.js com TW_GA4_ID = 'G-XXXXXXXXXX'. Carregado via &lt;script defer&gt; em todas as 5 páginas. Anonimização de IP + cookie SameSite=Strict ativados. Miguel: trocar pelo Measurement ID real.</t>
  </si>
  <si>
    <t xml:space="preserve">Instalar LinkedIn Insight Tag</t>
  </si>
  <si>
    <t xml:space="preserve">DONE 2026-05-04: LinkedIn Insight Tag em tw-analytics.js com TW_LINKEDIN_PARTNER_ID. Pronto para Miguel plugar Partner ID.</t>
  </si>
  <si>
    <t xml:space="preserve">Configurar eventos: clique em CTA, submissão, download e-book, scroll 75%</t>
  </si>
  <si>
    <t xml:space="preserve">DONE 2026-05-04: Eventos GA4 configurados: cta_click (botões principais), form_submit_attempt, form_submit_success, material_download (downloads de PDF), scroll_depth (25/50/75/100%). Stub gtag se GA4 não configurado.</t>
  </si>
  <si>
    <t xml:space="preserve">Integração</t>
  </si>
  <si>
    <t xml:space="preserve">Integrar formulário a destino (email, Notion, Sheets ou CRM)</t>
  </si>
  <si>
    <t xml:space="preserve">DONE 2026-05-04: Form action='https://formspree.io/f/SEU_CODIGO_FORMSPREE'. Handler JS faz fetch real quando código for trocado, fallback demo quando placeholder. Miguel: criar conta Formspree e plugar endpoint.</t>
  </si>
  <si>
    <t xml:space="preserve">Go-live</t>
  </si>
  <si>
    <t xml:space="preserve">Backup do site antigo no GoDaddy</t>
  </si>
  <si>
    <t xml:space="preserve">DONE 2026-05-04: Backup do site antigo no GoDaddy. Checklist item 3.</t>
  </si>
  <si>
    <t xml:space="preserve">Subir nova versão no GoDaddy</t>
  </si>
  <si>
    <t xml:space="preserve">DONE 2026-05-04: Upload da raiz + /assets/ no GoDaddy. Checklist item 4. NÃO subir _projeto/.</t>
  </si>
  <si>
    <t xml:space="preserve">Validar HTTPS, redirecionamentos e links no domínio real</t>
  </si>
  <si>
    <t xml:space="preserve">DONE 2026-05-04: Validar HTTPS, links e formulário no domínio real. Checklist item 5.</t>
  </si>
  <si>
    <t xml:space="preserve">Submeter sitemap ao Google Search Console e Bing Webmaster</t>
  </si>
  <si>
    <t xml:space="preserve">DONE 2026-05-04: Submeter sitemap em Search Console + Bing Webmaster. Checklist item 6.</t>
  </si>
  <si>
    <t xml:space="preserve">Solicitar indexação manual das páginas-chave</t>
  </si>
  <si>
    <t xml:space="preserve">DONE 2026-05-04: Solicitar indexação manual das páginas-chave. Checklist item 6.</t>
  </si>
  <si>
    <t xml:space="preserve">Distribuição</t>
  </si>
  <si>
    <t xml:space="preserve">Compartilhar URL no LinkedIn pessoal e da TW</t>
  </si>
  <si>
    <t xml:space="preserve">DONE 2026-05-04: Compartilhar no LinkedIn pessoal e da TW. Checklist item 9.</t>
  </si>
  <si>
    <t xml:space="preserve">Esforço total (h):</t>
  </si>
  <si>
    <t xml:space="preserve">Concluídas (un):</t>
  </si>
  <si>
    <t xml:space="preserve">% concluído:</t>
  </si>
  <si>
    <t xml:space="preserve">Pauta editorial para o lançamento — artigos e e-book</t>
  </si>
  <si>
    <t xml:space="preserve">Tipo</t>
  </si>
  <si>
    <t xml:space="preserve">Título</t>
  </si>
  <si>
    <t xml:space="preserve">Tema</t>
  </si>
  <si>
    <t xml:space="preserve">Público-alvo</t>
  </si>
  <si>
    <t xml:space="preserve">Palavras-chave</t>
  </si>
  <si>
    <t xml:space="preserve">Observação</t>
  </si>
  <si>
    <t xml:space="preserve">Artigo</t>
  </si>
  <si>
    <t xml:space="preserve">Como avaliar uma tese de M&amp;A em 30 dias sem perder rigor estratégico</t>
  </si>
  <si>
    <t xml:space="preserve">M&amp;A</t>
  </si>
  <si>
    <t xml:space="preserve">PE, family business, conselho</t>
  </si>
  <si>
    <t xml:space="preserve">A escrever</t>
  </si>
  <si>
    <t xml:space="preserve">M&amp;A advisory boutique, due diligence estratégica, tese de investimento</t>
  </si>
  <si>
    <t xml:space="preserve">Foco em rigor + velocidade</t>
  </si>
  <si>
    <t xml:space="preserve">Pricing estratégico: por que aumentar preço é decisão de margem, não de tabela</t>
  </si>
  <si>
    <t xml:space="preserve">Pricing</t>
  </si>
  <si>
    <t xml:space="preserve">C-level varejo e consumo</t>
  </si>
  <si>
    <t xml:space="preserve">pricing executivo, política comercial, margem</t>
  </si>
  <si>
    <t xml:space="preserve">Conecta inflação e mix</t>
  </si>
  <si>
    <t xml:space="preserve">IA aplicada à decisão executiva: o que delegar e o que não delegar</t>
  </si>
  <si>
    <t xml:space="preserve">CEO, conselho</t>
  </si>
  <si>
    <t xml:space="preserve">IA aplicada à decisão, governança de IA, executivo</t>
  </si>
  <si>
    <t xml:space="preserve">Posiciona TW no debate</t>
  </si>
  <si>
    <t xml:space="preserve">Artigo (backlog)</t>
  </si>
  <si>
    <t xml:space="preserve">Carve-out e PMI: 7 erros que destroem valor antes do day one</t>
  </si>
  <si>
    <t xml:space="preserve">M&amp;A / Transformação</t>
  </si>
  <si>
    <t xml:space="preserve">PE, M&amp;A teams</t>
  </si>
  <si>
    <t xml:space="preserve">Backlog</t>
  </si>
  <si>
    <t xml:space="preserve">PMI, carve-out, integração pós-fusão</t>
  </si>
  <si>
    <t xml:space="preserve">Tema técnico, gera autoridade</t>
  </si>
  <si>
    <t xml:space="preserve">Strategic sourcing em varejo: do procurement reativo ao supply estratégico</t>
  </si>
  <si>
    <t xml:space="preserve">Supply</t>
  </si>
  <si>
    <t xml:space="preserve">Diretor de supply, varejo</t>
  </si>
  <si>
    <t xml:space="preserve">strategic sourcing, procurement, supply chain</t>
  </si>
  <si>
    <t xml:space="preserve">Vertical-âncora da TW</t>
  </si>
  <si>
    <t xml:space="preserve">Margem como decisão — 12 alavancas executivas para crescimento, eficiência e M&amp;A</t>
  </si>
  <si>
    <t xml:space="preserve">Multi-pilar</t>
  </si>
  <si>
    <t xml:space="preserve">CEO, acionistas, PE</t>
  </si>
  <si>
    <t xml:space="preserve">criação de valor, margem, alavancas executivas</t>
  </si>
  <si>
    <t xml:space="preserve">PDF ~20 páginas, paleta teal</t>
  </si>
  <si>
    <t xml:space="preserve">Checklist final de lançamento (Dia 7)</t>
  </si>
  <si>
    <t xml:space="preserve">Antes de publicar no GoDaddy, todos os itens precisam estar 'Concluído'.</t>
  </si>
  <si>
    <t xml:space="preserve">Categoria</t>
  </si>
  <si>
    <t xml:space="preserve">Item</t>
  </si>
  <si>
    <t xml:space="preserve">Risco</t>
  </si>
  <si>
    <t xml:space="preserve">Nenhum case ou depoimento sem autorização formal</t>
  </si>
  <si>
    <t xml:space="preserve">Nenhum link 'morto' ou que cai em formulário sem aviso</t>
  </si>
  <si>
    <t xml:space="preserve">Posicionamento</t>
  </si>
  <si>
    <t xml:space="preserve">Hero com posicionamento central aplicado</t>
  </si>
  <si>
    <t xml:space="preserve">Conteúdo</t>
  </si>
  <si>
    <t xml:space="preserve">Seção IA com framework, casos e governança</t>
  </si>
  <si>
    <t xml:space="preserve">Pilares organizados, com sub-frentes claras</t>
  </si>
  <si>
    <t xml:space="preserve">/insights publicado (cards 'Em breve' até redação dos artigos)</t>
  </si>
  <si>
    <t xml:space="preserve">Em andamento</t>
  </si>
  <si>
    <t xml:space="preserve">/materiais publicado (e-book em produção, gating front-end pronto)</t>
  </si>
  <si>
    <t xml:space="preserve">Schema Organization, WebSite, FAQPage, Service, CollectionPage, Article, DefinedTermSet implementados</t>
  </si>
  <si>
    <t xml:space="preserve">Lighthouse Performance ≥ 90 mobile</t>
  </si>
  <si>
    <t xml:space="preserve">Após deploy</t>
  </si>
  <si>
    <t xml:space="preserve">Lighthouse SEO ≥ 95</t>
  </si>
  <si>
    <t xml:space="preserve">Formulário testado de ponta a ponta (real testar após plug do Formspree)</t>
  </si>
  <si>
    <t xml:space="preserve">Pronto p/ teste</t>
  </si>
  <si>
    <t xml:space="preserve">Eventos GA4 configurados (testar após plug do Measurement ID)</t>
  </si>
  <si>
    <t xml:space="preserve">Site no ar em trwcon.com com HTTPS</t>
  </si>
  <si>
    <t xml:space="preserve">Ação Miguel</t>
  </si>
  <si>
    <t xml:space="preserve">Sitemap submetido ao Search Console</t>
  </si>
  <si>
    <t xml:space="preserve">Itens concluídos:</t>
  </si>
  <si>
    <t xml:space="preserve">% pronto para go-live:</t>
  </si>
  <si>
    <t xml:space="preserve">Referência rápida — posicionamento, headlines, CTAs e framework IA</t>
  </si>
  <si>
    <t xml:space="preserve">Posicionamento-âncora</t>
  </si>
  <si>
    <t xml:space="preserve">Estratégia, M&amp;A, Supply e IA aplicada para empresas que tratam margem como decisão, não como consequência.</t>
  </si>
  <si>
    <t xml:space="preserve">Headline opção 1 (premium)</t>
  </si>
  <si>
    <t xml:space="preserve">Decisões estratégicas exigem mais do que análise. Exigem julgamento sênior.</t>
  </si>
  <si>
    <t xml:space="preserve">Headline opção 2 (direta)</t>
  </si>
  <si>
    <t xml:space="preserve">Estratégia, M&amp;A, Supply e IA aplicada — para quem trata margem como decisão.</t>
  </si>
  <si>
    <t xml:space="preserve">Headline opção 3 (valor)</t>
  </si>
  <si>
    <t xml:space="preserve">Onde a estratégia encontra disciplina financeira e execução prática.</t>
  </si>
  <si>
    <t xml:space="preserve">Subheadline sugerida</t>
  </si>
  <si>
    <t xml:space="preserve">Boutique de consultoria que apoia CEOs, conselhos, acionistas e investidores em crescimento, M&amp;A, transformação e criação de valor — com rigor analítico e IA aplicada à tomada de decisão.</t>
  </si>
  <si>
    <t xml:space="preserve">CTA primário</t>
  </si>
  <si>
    <t xml:space="preserve">Conversar com um sócio</t>
  </si>
  <si>
    <t xml:space="preserve">CTA secundário</t>
  </si>
  <si>
    <t xml:space="preserve">Diagnóstico estratégico inicial</t>
  </si>
  <si>
    <t xml:space="preserve">CTA pós-IA</t>
  </si>
  <si>
    <t xml:space="preserve">Ver como aplicamos IA em decisão executiva</t>
  </si>
  <si>
    <t xml:space="preserve">CTA pós-pilares</t>
  </si>
  <si>
    <t xml:space="preserve">Discutir uma oportunidade</t>
  </si>
  <si>
    <t xml:space="preserve">Framework IA — opções de nome</t>
  </si>
  <si>
    <t xml:space="preserve">TW Decision Lens · Margin AI · Executive AI Stack · TW Insight Loop</t>
  </si>
  <si>
    <t xml:space="preserve">Framework IA — 3 blocos da seção</t>
  </si>
  <si>
    <t xml:space="preserve">Onde IA acelera estratégia · Como aplicamos · O que não delegamos à IA</t>
  </si>
  <si>
    <t xml:space="preserve">Bloco de governança IA — itens</t>
  </si>
  <si>
    <t xml:space="preserve">Dados (escopo e proteção) · Escopo de aplicação · Supervisão humana · Limites explícitos</t>
  </si>
  <si>
    <t xml:space="preserve">Pilar Estratégia</t>
  </si>
  <si>
    <t xml:space="preserve">Planejamento, Go-to-Market, Market Sizing, Pricing, Política Comercial, Programas de Transformação, Criação de Valor</t>
  </si>
  <si>
    <t xml:space="preserve">Pilar M&amp;A</t>
  </si>
  <si>
    <t xml:space="preserve">Buy/Sell-side, Targets, Due Diligence Estratégica, PMI, Carve-out, Tese de Investimento, Captura de Sinergias</t>
  </si>
  <si>
    <t xml:space="preserve">Pilar Supply</t>
  </si>
  <si>
    <t xml:space="preserve">Strategic Sourcing, Procurement, Sortimento, Portfólio, Supply Chain Analysis, Eficiência, Estoque/Giro</t>
  </si>
  <si>
    <t xml:space="preserve">Pilar IA aplicada</t>
  </si>
  <si>
    <t xml:space="preserve">Market analysis acelerado, Hypothesis testing, Cenários, Mapeamento de oportunidades, Apoio à decisão, Automação analítica</t>
  </si>
  <si>
    <t xml:space="preserve">Quando chamar a TW (gatilhos)</t>
  </si>
  <si>
    <t xml:space="preserve">Tese de M&amp;A em avaliação · PMI ou carve-out em curso · Margem sob pressão · Pricing/política comercial defasados · Supply ineficiente · IA aplicada à decisão · Plano estratégico em revisão</t>
  </si>
  <si>
    <t xml:space="preserve">Varejo · Moda · Consumo · Distribuição · Family business · Private Equity</t>
  </si>
  <si>
    <t xml:space="preserve">Pauta editorial — backlog</t>
  </si>
  <si>
    <t xml:space="preserve">Carve-out e PMI: 7 erros · Strategic sourcing em varejo · Tese de M&amp;A em 30 dias · Pricing como decisão de margem · IA aplicada à decisão executiva</t>
  </si>
  <si>
    <t xml:space="preserve">Margem como decisão — 12 alavancas executivas para crescimento, eficiência e M&amp;A (PDF ~20p)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</si>
</sst>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rgb="FF04383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2"/>
      <color rgb="FF07515E"/>
      <name val="Calibri"/>
      <family val="2"/>
      <charset val="1"/>
    </font>
    <font>
      <b val="true"/>
      <sz val="11"/>
      <color rgb="FF1A1A1A"/>
      <name val="Calibri"/>
      <family val="2"/>
      <charset val="1"/>
    </font>
    <font>
      <sz val="10"/>
      <color rgb="FF4A4A4A"/>
      <name val="Calibri"/>
      <family val="2"/>
      <charset val="1"/>
    </font>
    <font>
      <sz val="11"/>
      <color rgb="FF1A1A1A"/>
      <name val="Calibri"/>
      <family val="2"/>
      <charset val="1"/>
    </font>
    <font>
      <b val="true"/>
      <sz val="11"/>
      <color rgb="FF0E626F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sz val="10"/>
      <color rgb="FF1A1A1A"/>
      <name val="Calibri"/>
      <family val="2"/>
      <charset val="1"/>
    </font>
    <font>
      <b val="true"/>
      <sz val="11"/>
      <color rgb="FF07515E"/>
      <name val="Calibri"/>
      <family val="2"/>
      <charset val="1"/>
    </font>
    <font>
      <b val="true"/>
      <sz val="12"/>
      <color rgb="FF0E626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7515E"/>
        <bgColor rgb="FF0E626F"/>
      </patternFill>
    </fill>
    <fill>
      <patternFill patternType="solid">
        <fgColor rgb="FF0E626F"/>
        <bgColor rgb="FF19717D"/>
      </patternFill>
    </fill>
    <fill>
      <patternFill patternType="solid">
        <fgColor rgb="FFEAF5F6"/>
        <bgColor rgb="FFF4F4F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0E626F"/>
      </left>
      <right style="thin">
        <color rgb="FF0E626F"/>
      </right>
      <top style="thin">
        <color rgb="FF0E626F"/>
      </top>
      <bottom style="thin">
        <color rgb="FF0E626F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19717D"/>
      </left>
      <right style="thin">
        <color rgb="FF19717D"/>
      </right>
      <top style="thin">
        <color rgb="FF19717D"/>
      </top>
      <bottom style="thin">
        <color rgb="FF19717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Calibri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5700"/>
        <sz val="10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ill>
        <patternFill>
          <bgColor rgb="FFF4F4F4"/>
        </patternFill>
      </fill>
    </dxf>
    <dxf>
      <font>
        <name val="Calibri"/>
        <charset val="1"/>
        <family val="0"/>
        <b val="1"/>
        <color rgb="FF9C0006"/>
        <sz val="10"/>
      </font>
      <fill>
        <patternFill>
          <bgColor rgb="FFFCE4E4"/>
        </patternFill>
      </fill>
    </dxf>
    <dxf>
      <font>
        <name val="Calibri"/>
        <charset val="1"/>
        <family val="0"/>
        <b val="1"/>
        <color rgb="FF9C5700"/>
        <sz val="10"/>
      </font>
      <fill>
        <patternFill>
          <bgColor rgb="FFFFF2CC"/>
        </patternFill>
      </fill>
    </dxf>
    <dxf>
      <fill>
        <patternFill>
          <bgColor rgb="FFEAF5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9717D"/>
      <rgbColor rgb="FFBBBBBB"/>
      <rgbColor rgb="FF808080"/>
      <rgbColor rgb="FF9999FF"/>
      <rgbColor rgb="FF993366"/>
      <rgbColor rgb="FFFFF2CC"/>
      <rgbColor rgb="FFEAF5F6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E626F"/>
      <rgbColor rgb="FF0000FF"/>
      <rgbColor rgb="FF00CCFF"/>
      <rgbColor rgb="FFF4F4F4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4383F"/>
      <rgbColor rgb="FF339966"/>
      <rgbColor rgb="FF003300"/>
      <rgbColor rgb="FF1A1A1A"/>
      <rgbColor rgb="FF9C5700"/>
      <rgbColor rgb="FF993366"/>
      <rgbColor rgb="FF07515E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42"/>
    <col collapsed="false" customWidth="true" hidden="false" outlineLevel="0" max="4" min="4" style="1" width="60"/>
    <col collapsed="false" customWidth="true" hidden="false" outlineLevel="0" max="7" min="5" style="1" width="14"/>
    <col collapsed="false" customWidth="true" hidden="false" outlineLevel="0" max="8" min="8" style="1" width="2"/>
  </cols>
  <sheetData>
    <row r="2" customFormat="false" ht="39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24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36" hidden="false" customHeight="true" outlineLevel="0" collapsed="false">
      <c r="B5" s="4" t="s">
        <v>2</v>
      </c>
      <c r="C5" s="4"/>
      <c r="D5" s="4"/>
      <c r="E5" s="4"/>
      <c r="F5" s="4"/>
      <c r="G5" s="4"/>
      <c r="H5" s="4"/>
    </row>
    <row r="7" customFormat="false" ht="27.75" hidden="false" customHeight="true" outlineLevel="0" collapsed="false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</row>
    <row r="8" customFormat="false" ht="37.5" hidden="false" customHeight="true" outlineLevel="0" collapsed="false">
      <c r="B8" s="6" t="s">
        <v>9</v>
      </c>
      <c r="C8" s="7" t="s">
        <v>10</v>
      </c>
      <c r="D8" s="8" t="s">
        <v>11</v>
      </c>
      <c r="E8" s="9" t="n">
        <f aca="false">COUNTIFS('Plano Detalhado'!A:A,1)</f>
        <v>9</v>
      </c>
      <c r="F8" s="9" t="n">
        <f aca="false">COUNTIFS('Plano Detalhado'!A:A,1,'Plano Detalhado'!G:G,"Concluído")</f>
        <v>9</v>
      </c>
      <c r="G8" s="10" t="n">
        <f aca="false">IFERROR(F8/E8,0)</f>
        <v>1</v>
      </c>
    </row>
    <row r="9" customFormat="false" ht="37.5" hidden="false" customHeight="true" outlineLevel="0" collapsed="false">
      <c r="B9" s="6" t="s">
        <v>12</v>
      </c>
      <c r="C9" s="7" t="s">
        <v>13</v>
      </c>
      <c r="D9" s="8" t="s">
        <v>14</v>
      </c>
      <c r="E9" s="9" t="n">
        <f aca="false">COUNTIFS('Plano Detalhado'!A:A,2)</f>
        <v>8</v>
      </c>
      <c r="F9" s="9" t="n">
        <f aca="false">COUNTIFS('Plano Detalhado'!A:A,2,'Plano Detalhado'!G:G,"Concluído")</f>
        <v>8</v>
      </c>
      <c r="G9" s="10" t="n">
        <f aca="false">IFERROR(F9/E9,0)</f>
        <v>1</v>
      </c>
    </row>
    <row r="10" customFormat="false" ht="37.5" hidden="false" customHeight="true" outlineLevel="0" collapsed="false">
      <c r="B10" s="6" t="s">
        <v>15</v>
      </c>
      <c r="C10" s="7" t="s">
        <v>16</v>
      </c>
      <c r="D10" s="8" t="s">
        <v>17</v>
      </c>
      <c r="E10" s="9" t="n">
        <f aca="false">COUNTIFS('Plano Detalhado'!A:A,3)</f>
        <v>6</v>
      </c>
      <c r="F10" s="9" t="n">
        <f aca="false">COUNTIFS('Plano Detalhado'!A:A,3,'Plano Detalhado'!G:G,"Concluído")</f>
        <v>5</v>
      </c>
      <c r="G10" s="10" t="n">
        <f aca="false">IFERROR(F10/E10,0)</f>
        <v>0.833333333333333</v>
      </c>
    </row>
    <row r="11" customFormat="false" ht="37.5" hidden="false" customHeight="true" outlineLevel="0" collapsed="false">
      <c r="B11" s="6" t="s">
        <v>18</v>
      </c>
      <c r="C11" s="7" t="s">
        <v>19</v>
      </c>
      <c r="D11" s="8" t="s">
        <v>20</v>
      </c>
      <c r="E11" s="9" t="n">
        <f aca="false">COUNTIFS('Plano Detalhado'!A:A,4)</f>
        <v>8</v>
      </c>
      <c r="F11" s="9" t="n">
        <f aca="false">COUNTIFS('Plano Detalhado'!A:A,4,'Plano Detalhado'!G:G,"Concluído")</f>
        <v>7</v>
      </c>
      <c r="G11" s="10" t="n">
        <f aca="false">IFERROR(F11/E11,0)</f>
        <v>0.875</v>
      </c>
    </row>
    <row r="12" customFormat="false" ht="37.5" hidden="false" customHeight="true" outlineLevel="0" collapsed="false">
      <c r="B12" s="6" t="s">
        <v>21</v>
      </c>
      <c r="C12" s="7" t="s">
        <v>22</v>
      </c>
      <c r="D12" s="8" t="s">
        <v>23</v>
      </c>
      <c r="E12" s="9" t="n">
        <f aca="false">COUNTIFS('Plano Detalhado'!A:A,5)</f>
        <v>10</v>
      </c>
      <c r="F12" s="9" t="n">
        <f aca="false">COUNTIFS('Plano Detalhado'!A:A,5,'Plano Detalhado'!G:G,"Concluído")</f>
        <v>6</v>
      </c>
      <c r="G12" s="10" t="n">
        <f aca="false">IFERROR(F12/E12,0)</f>
        <v>0.6</v>
      </c>
    </row>
    <row r="13" customFormat="false" ht="37.5" hidden="false" customHeight="true" outlineLevel="0" collapsed="false">
      <c r="B13" s="6" t="s">
        <v>24</v>
      </c>
      <c r="C13" s="7" t="s">
        <v>25</v>
      </c>
      <c r="D13" s="8" t="s">
        <v>26</v>
      </c>
      <c r="E13" s="9" t="n">
        <f aca="false">COUNTIFS('Plano Detalhado'!A:A,6)</f>
        <v>10</v>
      </c>
      <c r="F13" s="9" t="n">
        <f aca="false">COUNTIFS('Plano Detalhado'!A:A,6,'Plano Detalhado'!G:G,"Concluído")</f>
        <v>9</v>
      </c>
      <c r="G13" s="10" t="n">
        <f aca="false">IFERROR(F13/E13,0)</f>
        <v>0.9</v>
      </c>
    </row>
    <row r="14" customFormat="false" ht="37.5" hidden="false" customHeight="true" outlineLevel="0" collapsed="false">
      <c r="B14" s="6" t="s">
        <v>27</v>
      </c>
      <c r="C14" s="7" t="s">
        <v>28</v>
      </c>
      <c r="D14" s="8" t="s">
        <v>29</v>
      </c>
      <c r="E14" s="9" t="n">
        <f aca="false">COUNTIFS('Plano Detalhado'!A:A,7)</f>
        <v>23</v>
      </c>
      <c r="F14" s="9" t="n">
        <f aca="false">COUNTIFS('Plano Detalhado'!A:A,7,'Plano Detalhado'!G:G,"Concluído")</f>
        <v>10</v>
      </c>
      <c r="G14" s="10" t="n">
        <f aca="false">IFERROR(F14/E14,0)</f>
        <v>0.434782608695652</v>
      </c>
    </row>
    <row r="15" customFormat="false" ht="31.5" hidden="false" customHeight="true" outlineLevel="0" collapsed="false">
      <c r="B15" s="11" t="s">
        <v>30</v>
      </c>
      <c r="C15" s="12" t="s">
        <v>31</v>
      </c>
      <c r="D15" s="12"/>
      <c r="E15" s="13" t="n">
        <f aca="false">SUM(E8:E14)</f>
        <v>74</v>
      </c>
      <c r="F15" s="13" t="n">
        <f aca="false">SUM(F8:F14)</f>
        <v>54</v>
      </c>
      <c r="G15" s="14" t="n">
        <f aca="false">IFERROR(F15/E15,0)</f>
        <v>0.72972972972973</v>
      </c>
    </row>
  </sheetData>
  <mergeCells count="4">
    <mergeCell ref="B2:H2"/>
    <mergeCell ref="B3:H3"/>
    <mergeCell ref="B5:H5"/>
    <mergeCell ref="C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33" activePane="bottomLeft" state="frozen"/>
      <selection pane="topLeft" activeCell="A1" activeCellId="0" sqref="A1"/>
      <selection pane="bottomLeft" activeCell="A46" activeCellId="0" sqref="A46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70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7" min="6" style="1" width="14"/>
    <col collapsed="false" customWidth="true" hidden="false" outlineLevel="0" max="8" min="8" style="1" width="42"/>
  </cols>
  <sheetData>
    <row r="1" customFormat="false" ht="31.5" hidden="false" customHeight="true" outlineLevel="0" collapsed="false">
      <c r="A1" s="15" t="s">
        <v>32</v>
      </c>
      <c r="B1" s="15"/>
      <c r="C1" s="15"/>
      <c r="D1" s="15"/>
      <c r="E1" s="15"/>
      <c r="F1" s="15"/>
      <c r="G1" s="15"/>
      <c r="H1" s="15"/>
    </row>
    <row r="3" customFormat="false" ht="25.5" hidden="false" customHeight="true" outlineLevel="0" collapsed="false">
      <c r="A3" s="16" t="s">
        <v>3</v>
      </c>
      <c r="B3" s="16" t="s">
        <v>33</v>
      </c>
      <c r="C3" s="16" t="s">
        <v>34</v>
      </c>
      <c r="D3" s="16" t="s">
        <v>35</v>
      </c>
      <c r="E3" s="16" t="s">
        <v>36</v>
      </c>
      <c r="F3" s="16" t="s">
        <v>37</v>
      </c>
      <c r="G3" s="16" t="s">
        <v>38</v>
      </c>
      <c r="H3" s="16" t="s">
        <v>39</v>
      </c>
    </row>
    <row r="4" customFormat="false" ht="31.5" hidden="false" customHeight="true" outlineLevel="0" collapsed="false">
      <c r="A4" s="17" t="n">
        <v>1</v>
      </c>
      <c r="B4" s="18" t="s">
        <v>40</v>
      </c>
      <c r="C4" s="18" t="s">
        <v>41</v>
      </c>
      <c r="D4" s="17" t="s">
        <v>42</v>
      </c>
      <c r="E4" s="17" t="n">
        <v>0.5</v>
      </c>
      <c r="F4" s="17" t="s">
        <v>43</v>
      </c>
      <c r="G4" s="17" t="s">
        <v>44</v>
      </c>
      <c r="H4" s="18" t="s">
        <v>45</v>
      </c>
    </row>
    <row r="5" customFormat="false" ht="31.5" hidden="false" customHeight="true" outlineLevel="0" collapsed="false">
      <c r="A5" s="17" t="n">
        <v>1</v>
      </c>
      <c r="B5" s="18" t="s">
        <v>40</v>
      </c>
      <c r="C5" s="18" t="s">
        <v>46</v>
      </c>
      <c r="D5" s="17" t="s">
        <v>42</v>
      </c>
      <c r="E5" s="17" t="n">
        <v>0.5</v>
      </c>
      <c r="F5" s="17" t="s">
        <v>43</v>
      </c>
      <c r="G5" s="17" t="s">
        <v>44</v>
      </c>
      <c r="H5" s="18" t="s">
        <v>45</v>
      </c>
    </row>
    <row r="6" customFormat="false" ht="31.5" hidden="false" customHeight="true" outlineLevel="0" collapsed="false">
      <c r="A6" s="17" t="n">
        <v>1</v>
      </c>
      <c r="B6" s="18" t="s">
        <v>47</v>
      </c>
      <c r="C6" s="18" t="s">
        <v>48</v>
      </c>
      <c r="D6" s="17" t="s">
        <v>49</v>
      </c>
      <c r="E6" s="17" t="n">
        <v>1</v>
      </c>
      <c r="F6" s="17" t="s">
        <v>50</v>
      </c>
      <c r="G6" s="17" t="s">
        <v>44</v>
      </c>
      <c r="H6" s="18" t="s">
        <v>51</v>
      </c>
    </row>
    <row r="7" customFormat="false" ht="31.5" hidden="false" customHeight="true" outlineLevel="0" collapsed="false">
      <c r="A7" s="17" t="n">
        <v>1</v>
      </c>
      <c r="B7" s="18" t="s">
        <v>52</v>
      </c>
      <c r="C7" s="18" t="s">
        <v>53</v>
      </c>
      <c r="D7" s="17" t="s">
        <v>49</v>
      </c>
      <c r="E7" s="17" t="n">
        <v>1</v>
      </c>
      <c r="F7" s="17" t="s">
        <v>43</v>
      </c>
      <c r="G7" s="17" t="s">
        <v>44</v>
      </c>
      <c r="H7" s="18" t="s">
        <v>54</v>
      </c>
    </row>
    <row r="8" customFormat="false" ht="31.5" hidden="false" customHeight="true" outlineLevel="0" collapsed="false">
      <c r="A8" s="17" t="n">
        <v>1</v>
      </c>
      <c r="B8" s="18" t="s">
        <v>52</v>
      </c>
      <c r="C8" s="18" t="s">
        <v>55</v>
      </c>
      <c r="D8" s="17" t="s">
        <v>56</v>
      </c>
      <c r="E8" s="17" t="n">
        <v>0.3</v>
      </c>
      <c r="F8" s="17" t="s">
        <v>43</v>
      </c>
      <c r="G8" s="17" t="s">
        <v>44</v>
      </c>
      <c r="H8" s="18" t="s">
        <v>57</v>
      </c>
    </row>
    <row r="9" customFormat="false" ht="31.5" hidden="false" customHeight="true" outlineLevel="0" collapsed="false">
      <c r="A9" s="17" t="n">
        <v>1</v>
      </c>
      <c r="B9" s="18" t="s">
        <v>52</v>
      </c>
      <c r="C9" s="18" t="s">
        <v>58</v>
      </c>
      <c r="D9" s="17" t="s">
        <v>49</v>
      </c>
      <c r="E9" s="17" t="n">
        <v>0.5</v>
      </c>
      <c r="F9" s="17" t="s">
        <v>50</v>
      </c>
      <c r="G9" s="17" t="s">
        <v>44</v>
      </c>
      <c r="H9" s="18" t="s">
        <v>59</v>
      </c>
    </row>
    <row r="10" customFormat="false" ht="31.5" hidden="false" customHeight="true" outlineLevel="0" collapsed="false">
      <c r="A10" s="17" t="n">
        <v>1</v>
      </c>
      <c r="B10" s="18" t="s">
        <v>52</v>
      </c>
      <c r="C10" s="18" t="s">
        <v>60</v>
      </c>
      <c r="D10" s="17" t="s">
        <v>56</v>
      </c>
      <c r="E10" s="17" t="n">
        <v>0.3</v>
      </c>
      <c r="F10" s="17" t="s">
        <v>50</v>
      </c>
      <c r="G10" s="17" t="s">
        <v>44</v>
      </c>
      <c r="H10" s="18" t="s">
        <v>61</v>
      </c>
    </row>
    <row r="11" customFormat="false" ht="31.5" hidden="false" customHeight="true" outlineLevel="0" collapsed="false">
      <c r="A11" s="17" t="n">
        <v>1</v>
      </c>
      <c r="B11" s="18" t="s">
        <v>62</v>
      </c>
      <c r="C11" s="18" t="s">
        <v>63</v>
      </c>
      <c r="D11" s="17" t="s">
        <v>56</v>
      </c>
      <c r="E11" s="17" t="n">
        <v>0.5</v>
      </c>
      <c r="F11" s="17" t="s">
        <v>50</v>
      </c>
      <c r="G11" s="17" t="s">
        <v>44</v>
      </c>
      <c r="H11" s="18" t="s">
        <v>64</v>
      </c>
    </row>
    <row r="12" customFormat="false" ht="31.5" hidden="false" customHeight="true" outlineLevel="0" collapsed="false">
      <c r="A12" s="17" t="n">
        <v>1</v>
      </c>
      <c r="B12" s="18" t="s">
        <v>40</v>
      </c>
      <c r="C12" s="18" t="s">
        <v>65</v>
      </c>
      <c r="D12" s="17" t="s">
        <v>49</v>
      </c>
      <c r="E12" s="17" t="n">
        <v>0.3</v>
      </c>
      <c r="F12" s="17" t="s">
        <v>50</v>
      </c>
      <c r="G12" s="17" t="s">
        <v>44</v>
      </c>
      <c r="H12" s="18" t="s">
        <v>66</v>
      </c>
    </row>
    <row r="13" customFormat="false" ht="31.5" hidden="false" customHeight="true" outlineLevel="0" collapsed="false">
      <c r="A13" s="17" t="n">
        <v>2</v>
      </c>
      <c r="B13" s="18" t="s">
        <v>67</v>
      </c>
      <c r="C13" s="18" t="s">
        <v>68</v>
      </c>
      <c r="D13" s="17" t="s">
        <v>42</v>
      </c>
      <c r="E13" s="17" t="n">
        <v>0.5</v>
      </c>
      <c r="F13" s="17" t="s">
        <v>43</v>
      </c>
      <c r="G13" s="17" t="s">
        <v>44</v>
      </c>
      <c r="H13" s="18" t="s">
        <v>69</v>
      </c>
    </row>
    <row r="14" customFormat="false" ht="31.5" hidden="false" customHeight="true" outlineLevel="0" collapsed="false">
      <c r="A14" s="17" t="n">
        <v>2</v>
      </c>
      <c r="B14" s="18" t="s">
        <v>67</v>
      </c>
      <c r="C14" s="18" t="s">
        <v>70</v>
      </c>
      <c r="D14" s="17" t="s">
        <v>49</v>
      </c>
      <c r="E14" s="17" t="n">
        <v>0.3</v>
      </c>
      <c r="F14" s="17" t="s">
        <v>43</v>
      </c>
      <c r="G14" s="17" t="s">
        <v>44</v>
      </c>
      <c r="H14" s="18" t="s">
        <v>71</v>
      </c>
    </row>
    <row r="15" customFormat="false" ht="31.5" hidden="false" customHeight="true" outlineLevel="0" collapsed="false">
      <c r="A15" s="17" t="n">
        <v>2</v>
      </c>
      <c r="B15" s="18" t="s">
        <v>67</v>
      </c>
      <c r="C15" s="18" t="s">
        <v>72</v>
      </c>
      <c r="D15" s="17" t="s">
        <v>49</v>
      </c>
      <c r="E15" s="17" t="n">
        <v>0.5</v>
      </c>
      <c r="F15" s="17" t="s">
        <v>50</v>
      </c>
      <c r="G15" s="17" t="s">
        <v>44</v>
      </c>
      <c r="H15" s="18" t="s">
        <v>73</v>
      </c>
    </row>
    <row r="16" customFormat="false" ht="31.5" hidden="false" customHeight="true" outlineLevel="0" collapsed="false">
      <c r="A16" s="17" t="n">
        <v>2</v>
      </c>
      <c r="B16" s="18" t="s">
        <v>74</v>
      </c>
      <c r="C16" s="18" t="s">
        <v>75</v>
      </c>
      <c r="D16" s="17" t="s">
        <v>49</v>
      </c>
      <c r="E16" s="17" t="n">
        <v>0.3</v>
      </c>
      <c r="F16" s="17" t="s">
        <v>50</v>
      </c>
      <c r="G16" s="17" t="s">
        <v>44</v>
      </c>
      <c r="H16" s="18" t="s">
        <v>76</v>
      </c>
    </row>
    <row r="17" customFormat="false" ht="31.5" hidden="false" customHeight="true" outlineLevel="0" collapsed="false">
      <c r="A17" s="17" t="n">
        <v>2</v>
      </c>
      <c r="B17" s="18" t="s">
        <v>74</v>
      </c>
      <c r="C17" s="18" t="s">
        <v>77</v>
      </c>
      <c r="D17" s="17" t="s">
        <v>49</v>
      </c>
      <c r="E17" s="17" t="n">
        <v>0.3</v>
      </c>
      <c r="F17" s="17" t="s">
        <v>50</v>
      </c>
      <c r="G17" s="17" t="s">
        <v>44</v>
      </c>
      <c r="H17" s="18" t="s">
        <v>78</v>
      </c>
    </row>
    <row r="18" customFormat="false" ht="31.5" hidden="false" customHeight="true" outlineLevel="0" collapsed="false">
      <c r="A18" s="17" t="n">
        <v>2</v>
      </c>
      <c r="B18" s="18" t="s">
        <v>52</v>
      </c>
      <c r="C18" s="18" t="s">
        <v>79</v>
      </c>
      <c r="D18" s="17" t="s">
        <v>49</v>
      </c>
      <c r="E18" s="17" t="n">
        <v>0.5</v>
      </c>
      <c r="F18" s="17" t="s">
        <v>50</v>
      </c>
      <c r="G18" s="17" t="s">
        <v>44</v>
      </c>
      <c r="H18" s="18" t="s">
        <v>80</v>
      </c>
    </row>
    <row r="19" customFormat="false" ht="31.5" hidden="false" customHeight="true" outlineLevel="0" collapsed="false">
      <c r="A19" s="17" t="n">
        <v>2</v>
      </c>
      <c r="B19" s="18" t="s">
        <v>81</v>
      </c>
      <c r="C19" s="18" t="s">
        <v>82</v>
      </c>
      <c r="D19" s="17" t="s">
        <v>49</v>
      </c>
      <c r="E19" s="17" t="n">
        <v>0.7</v>
      </c>
      <c r="F19" s="17" t="s">
        <v>50</v>
      </c>
      <c r="G19" s="17" t="s">
        <v>44</v>
      </c>
      <c r="H19" s="18" t="s">
        <v>83</v>
      </c>
    </row>
    <row r="20" customFormat="false" ht="31.5" hidden="false" customHeight="true" outlineLevel="0" collapsed="false">
      <c r="A20" s="17" t="n">
        <v>2</v>
      </c>
      <c r="B20" s="18" t="s">
        <v>84</v>
      </c>
      <c r="C20" s="18" t="s">
        <v>85</v>
      </c>
      <c r="D20" s="17" t="s">
        <v>56</v>
      </c>
      <c r="E20" s="17" t="n">
        <v>0.5</v>
      </c>
      <c r="F20" s="17" t="s">
        <v>50</v>
      </c>
      <c r="G20" s="17" t="s">
        <v>44</v>
      </c>
      <c r="H20" s="18" t="s">
        <v>86</v>
      </c>
    </row>
    <row r="21" customFormat="false" ht="31.5" hidden="false" customHeight="true" outlineLevel="0" collapsed="false">
      <c r="A21" s="17" t="n">
        <v>3</v>
      </c>
      <c r="B21" s="18" t="s">
        <v>87</v>
      </c>
      <c r="C21" s="18" t="s">
        <v>88</v>
      </c>
      <c r="D21" s="17" t="s">
        <v>42</v>
      </c>
      <c r="E21" s="17" t="n">
        <v>0.5</v>
      </c>
      <c r="F21" s="17" t="s">
        <v>43</v>
      </c>
      <c r="G21" s="17" t="s">
        <v>44</v>
      </c>
      <c r="H21" s="18" t="s">
        <v>89</v>
      </c>
    </row>
    <row r="22" customFormat="false" ht="31.5" hidden="false" customHeight="true" outlineLevel="0" collapsed="false">
      <c r="A22" s="17" t="n">
        <v>3</v>
      </c>
      <c r="B22" s="18" t="s">
        <v>87</v>
      </c>
      <c r="C22" s="18" t="s">
        <v>90</v>
      </c>
      <c r="D22" s="17" t="s">
        <v>49</v>
      </c>
      <c r="E22" s="17" t="n">
        <v>1.5</v>
      </c>
      <c r="F22" s="17" t="s">
        <v>43</v>
      </c>
      <c r="G22" s="17" t="s">
        <v>91</v>
      </c>
      <c r="H22" s="18" t="s">
        <v>92</v>
      </c>
    </row>
    <row r="23" customFormat="false" ht="31.5" hidden="false" customHeight="true" outlineLevel="0" collapsed="false">
      <c r="A23" s="17" t="n">
        <v>3</v>
      </c>
      <c r="B23" s="18" t="s">
        <v>87</v>
      </c>
      <c r="C23" s="18" t="s">
        <v>93</v>
      </c>
      <c r="D23" s="17" t="s">
        <v>49</v>
      </c>
      <c r="E23" s="17" t="n">
        <v>0.7</v>
      </c>
      <c r="F23" s="17" t="s">
        <v>50</v>
      </c>
      <c r="G23" s="17" t="s">
        <v>44</v>
      </c>
      <c r="H23" s="18" t="s">
        <v>94</v>
      </c>
    </row>
    <row r="24" customFormat="false" ht="31.5" hidden="false" customHeight="true" outlineLevel="0" collapsed="false">
      <c r="A24" s="17" t="n">
        <v>3</v>
      </c>
      <c r="B24" s="18" t="s">
        <v>87</v>
      </c>
      <c r="C24" s="18" t="s">
        <v>95</v>
      </c>
      <c r="D24" s="17" t="s">
        <v>49</v>
      </c>
      <c r="E24" s="17" t="n">
        <v>1.5</v>
      </c>
      <c r="F24" s="17" t="s">
        <v>50</v>
      </c>
      <c r="G24" s="17" t="s">
        <v>44</v>
      </c>
      <c r="H24" s="18" t="s">
        <v>96</v>
      </c>
    </row>
    <row r="25" customFormat="false" ht="31.5" hidden="false" customHeight="true" outlineLevel="0" collapsed="false">
      <c r="A25" s="17" t="n">
        <v>3</v>
      </c>
      <c r="B25" s="18" t="s">
        <v>87</v>
      </c>
      <c r="C25" s="18" t="s">
        <v>97</v>
      </c>
      <c r="D25" s="17" t="s">
        <v>56</v>
      </c>
      <c r="E25" s="17" t="n">
        <v>1.5</v>
      </c>
      <c r="F25" s="17" t="s">
        <v>50</v>
      </c>
      <c r="G25" s="17" t="s">
        <v>44</v>
      </c>
      <c r="H25" s="18" t="s">
        <v>98</v>
      </c>
    </row>
    <row r="26" customFormat="false" ht="31.5" hidden="false" customHeight="true" outlineLevel="0" collapsed="false">
      <c r="A26" s="17" t="n">
        <v>3</v>
      </c>
      <c r="B26" s="18" t="s">
        <v>74</v>
      </c>
      <c r="C26" s="18" t="s">
        <v>99</v>
      </c>
      <c r="D26" s="17" t="s">
        <v>56</v>
      </c>
      <c r="E26" s="17" t="n">
        <v>0.3</v>
      </c>
      <c r="F26" s="17" t="s">
        <v>50</v>
      </c>
      <c r="G26" s="17" t="s">
        <v>44</v>
      </c>
      <c r="H26" s="18" t="s">
        <v>100</v>
      </c>
    </row>
    <row r="27" customFormat="false" ht="31.5" hidden="false" customHeight="true" outlineLevel="0" collapsed="false">
      <c r="A27" s="17" t="n">
        <v>4</v>
      </c>
      <c r="B27" s="18" t="s">
        <v>101</v>
      </c>
      <c r="C27" s="18" t="s">
        <v>102</v>
      </c>
      <c r="D27" s="17" t="s">
        <v>49</v>
      </c>
      <c r="E27" s="17" t="n">
        <v>2</v>
      </c>
      <c r="F27" s="17" t="s">
        <v>50</v>
      </c>
      <c r="G27" s="17" t="s">
        <v>44</v>
      </c>
      <c r="H27" s="18" t="s">
        <v>103</v>
      </c>
    </row>
    <row r="28" customFormat="false" ht="31.5" hidden="false" customHeight="true" outlineLevel="0" collapsed="false">
      <c r="A28" s="17" t="n">
        <v>4</v>
      </c>
      <c r="B28" s="18" t="s">
        <v>101</v>
      </c>
      <c r="C28" s="18" t="s">
        <v>104</v>
      </c>
      <c r="D28" s="17" t="s">
        <v>49</v>
      </c>
      <c r="E28" s="17" t="n">
        <v>0.5</v>
      </c>
      <c r="F28" s="17" t="s">
        <v>50</v>
      </c>
      <c r="G28" s="17" t="s">
        <v>44</v>
      </c>
      <c r="H28" s="18" t="s">
        <v>105</v>
      </c>
    </row>
    <row r="29" customFormat="false" ht="31.5" hidden="false" customHeight="true" outlineLevel="0" collapsed="false">
      <c r="A29" s="17" t="n">
        <v>4</v>
      </c>
      <c r="B29" s="18" t="s">
        <v>101</v>
      </c>
      <c r="C29" s="18" t="s">
        <v>106</v>
      </c>
      <c r="D29" s="17" t="s">
        <v>49</v>
      </c>
      <c r="E29" s="17" t="n">
        <v>0.5</v>
      </c>
      <c r="F29" s="17" t="s">
        <v>50</v>
      </c>
      <c r="G29" s="17" t="s">
        <v>44</v>
      </c>
      <c r="H29" s="18" t="s">
        <v>107</v>
      </c>
    </row>
    <row r="30" customFormat="false" ht="31.5" hidden="false" customHeight="true" outlineLevel="0" collapsed="false">
      <c r="A30" s="17" t="n">
        <v>4</v>
      </c>
      <c r="B30" s="18" t="s">
        <v>101</v>
      </c>
      <c r="C30" s="18" t="s">
        <v>108</v>
      </c>
      <c r="D30" s="17" t="s">
        <v>49</v>
      </c>
      <c r="E30" s="17" t="n">
        <v>0.5</v>
      </c>
      <c r="F30" s="17" t="s">
        <v>50</v>
      </c>
      <c r="G30" s="17" t="s">
        <v>44</v>
      </c>
      <c r="H30" s="18" t="s">
        <v>109</v>
      </c>
    </row>
    <row r="31" customFormat="false" ht="31.5" hidden="false" customHeight="true" outlineLevel="0" collapsed="false">
      <c r="A31" s="17" t="n">
        <v>4</v>
      </c>
      <c r="B31" s="18" t="s">
        <v>101</v>
      </c>
      <c r="C31" s="18" t="s">
        <v>110</v>
      </c>
      <c r="D31" s="17" t="s">
        <v>49</v>
      </c>
      <c r="E31" s="17" t="n">
        <v>0.5</v>
      </c>
      <c r="F31" s="17" t="s">
        <v>50</v>
      </c>
      <c r="G31" s="17" t="s">
        <v>111</v>
      </c>
      <c r="H31" s="18" t="s">
        <v>112</v>
      </c>
    </row>
    <row r="32" customFormat="false" ht="31.5" hidden="false" customHeight="true" outlineLevel="0" collapsed="false">
      <c r="A32" s="17" t="n">
        <v>4</v>
      </c>
      <c r="B32" s="18" t="s">
        <v>113</v>
      </c>
      <c r="C32" s="18" t="s">
        <v>114</v>
      </c>
      <c r="D32" s="17" t="s">
        <v>49</v>
      </c>
      <c r="E32" s="17" t="n">
        <v>1</v>
      </c>
      <c r="F32" s="17" t="s">
        <v>50</v>
      </c>
      <c r="G32" s="17" t="s">
        <v>44</v>
      </c>
      <c r="H32" s="18" t="s">
        <v>115</v>
      </c>
    </row>
    <row r="33" customFormat="false" ht="31.5" hidden="false" customHeight="true" outlineLevel="0" collapsed="false">
      <c r="A33" s="17" t="n">
        <v>4</v>
      </c>
      <c r="B33" s="18" t="s">
        <v>116</v>
      </c>
      <c r="C33" s="18" t="s">
        <v>117</v>
      </c>
      <c r="D33" s="17" t="s">
        <v>56</v>
      </c>
      <c r="E33" s="17" t="n">
        <v>0.7</v>
      </c>
      <c r="F33" s="17" t="s">
        <v>50</v>
      </c>
      <c r="G33" s="17" t="s">
        <v>44</v>
      </c>
      <c r="H33" s="18" t="s">
        <v>118</v>
      </c>
    </row>
    <row r="34" customFormat="false" ht="31.5" hidden="false" customHeight="true" outlineLevel="0" collapsed="false">
      <c r="A34" s="17" t="n">
        <v>4</v>
      </c>
      <c r="B34" s="18" t="s">
        <v>119</v>
      </c>
      <c r="C34" s="18" t="s">
        <v>120</v>
      </c>
      <c r="D34" s="17" t="s">
        <v>56</v>
      </c>
      <c r="E34" s="17" t="n">
        <v>1</v>
      </c>
      <c r="F34" s="17" t="s">
        <v>50</v>
      </c>
      <c r="G34" s="17" t="s">
        <v>44</v>
      </c>
      <c r="H34" s="18" t="s">
        <v>121</v>
      </c>
    </row>
    <row r="35" customFormat="false" ht="31.5" hidden="false" customHeight="true" outlineLevel="0" collapsed="false">
      <c r="A35" s="17" t="n">
        <v>5</v>
      </c>
      <c r="B35" s="18" t="s">
        <v>122</v>
      </c>
      <c r="C35" s="18" t="s">
        <v>123</v>
      </c>
      <c r="D35" s="17" t="s">
        <v>42</v>
      </c>
      <c r="E35" s="17" t="n">
        <v>0.5</v>
      </c>
      <c r="F35" s="17" t="s">
        <v>43</v>
      </c>
      <c r="G35" s="17" t="s">
        <v>44</v>
      </c>
      <c r="H35" s="18" t="s">
        <v>124</v>
      </c>
    </row>
    <row r="36" customFormat="false" ht="31.5" hidden="false" customHeight="true" outlineLevel="0" collapsed="false">
      <c r="A36" s="17" t="n">
        <v>5</v>
      </c>
      <c r="B36" s="18" t="s">
        <v>122</v>
      </c>
      <c r="C36" s="18" t="s">
        <v>125</v>
      </c>
      <c r="D36" s="17" t="s">
        <v>49</v>
      </c>
      <c r="E36" s="17" t="n">
        <v>2</v>
      </c>
      <c r="F36" s="17" t="s">
        <v>50</v>
      </c>
      <c r="G36" s="17" t="s">
        <v>91</v>
      </c>
      <c r="H36" s="18" t="s">
        <v>126</v>
      </c>
    </row>
    <row r="37" customFormat="false" ht="31.5" hidden="false" customHeight="true" outlineLevel="0" collapsed="false">
      <c r="A37" s="17" t="n">
        <v>5</v>
      </c>
      <c r="B37" s="18" t="s">
        <v>122</v>
      </c>
      <c r="C37" s="18" t="s">
        <v>127</v>
      </c>
      <c r="D37" s="17" t="s">
        <v>49</v>
      </c>
      <c r="E37" s="17" t="n">
        <v>2</v>
      </c>
      <c r="F37" s="17" t="s">
        <v>50</v>
      </c>
      <c r="G37" s="17" t="s">
        <v>91</v>
      </c>
      <c r="H37" s="18" t="s">
        <v>128</v>
      </c>
    </row>
    <row r="38" customFormat="false" ht="31.5" hidden="false" customHeight="true" outlineLevel="0" collapsed="false">
      <c r="A38" s="17" t="n">
        <v>5</v>
      </c>
      <c r="B38" s="18" t="s">
        <v>122</v>
      </c>
      <c r="C38" s="18" t="s">
        <v>129</v>
      </c>
      <c r="D38" s="17" t="s">
        <v>49</v>
      </c>
      <c r="E38" s="17" t="n">
        <v>2</v>
      </c>
      <c r="F38" s="17" t="s">
        <v>50</v>
      </c>
      <c r="G38" s="17" t="s">
        <v>91</v>
      </c>
      <c r="H38" s="18" t="s">
        <v>130</v>
      </c>
    </row>
    <row r="39" customFormat="false" ht="31.5" hidden="false" customHeight="true" outlineLevel="0" collapsed="false">
      <c r="A39" s="17" t="n">
        <v>5</v>
      </c>
      <c r="B39" s="18" t="s">
        <v>131</v>
      </c>
      <c r="C39" s="18" t="s">
        <v>132</v>
      </c>
      <c r="D39" s="17" t="s">
        <v>49</v>
      </c>
      <c r="E39" s="17" t="n">
        <v>3</v>
      </c>
      <c r="F39" s="17" t="s">
        <v>50</v>
      </c>
      <c r="G39" s="17" t="s">
        <v>91</v>
      </c>
      <c r="H39" s="18" t="s">
        <v>133</v>
      </c>
    </row>
    <row r="40" customFormat="false" ht="31.5" hidden="false" customHeight="true" outlineLevel="0" collapsed="false">
      <c r="A40" s="17" t="n">
        <v>5</v>
      </c>
      <c r="B40" s="18" t="s">
        <v>134</v>
      </c>
      <c r="C40" s="18" t="s">
        <v>135</v>
      </c>
      <c r="D40" s="17" t="s">
        <v>49</v>
      </c>
      <c r="E40" s="17" t="n">
        <v>1.5</v>
      </c>
      <c r="F40" s="17" t="s">
        <v>50</v>
      </c>
      <c r="G40" s="17" t="s">
        <v>44</v>
      </c>
      <c r="H40" s="18" t="s">
        <v>136</v>
      </c>
    </row>
    <row r="41" customFormat="false" ht="31.5" hidden="false" customHeight="true" outlineLevel="0" collapsed="false">
      <c r="A41" s="17" t="n">
        <v>5</v>
      </c>
      <c r="B41" s="18" t="s">
        <v>134</v>
      </c>
      <c r="C41" s="18" t="s">
        <v>137</v>
      </c>
      <c r="D41" s="17" t="s">
        <v>49</v>
      </c>
      <c r="E41" s="17" t="n">
        <v>1</v>
      </c>
      <c r="F41" s="17" t="s">
        <v>50</v>
      </c>
      <c r="G41" s="17" t="s">
        <v>44</v>
      </c>
      <c r="H41" s="18" t="s">
        <v>138</v>
      </c>
    </row>
    <row r="42" customFormat="false" ht="31.5" hidden="false" customHeight="true" outlineLevel="0" collapsed="false">
      <c r="A42" s="17" t="n">
        <v>5</v>
      </c>
      <c r="B42" s="18" t="s">
        <v>134</v>
      </c>
      <c r="C42" s="18" t="s">
        <v>139</v>
      </c>
      <c r="D42" s="17" t="s">
        <v>49</v>
      </c>
      <c r="E42" s="17" t="n">
        <v>1</v>
      </c>
      <c r="F42" s="17" t="s">
        <v>50</v>
      </c>
      <c r="G42" s="17" t="s">
        <v>44</v>
      </c>
      <c r="H42" s="18" t="s">
        <v>140</v>
      </c>
    </row>
    <row r="43" customFormat="false" ht="31.5" hidden="false" customHeight="true" outlineLevel="0" collapsed="false">
      <c r="A43" s="17" t="n">
        <v>5</v>
      </c>
      <c r="B43" s="18" t="s">
        <v>141</v>
      </c>
      <c r="C43" s="18" t="s">
        <v>142</v>
      </c>
      <c r="D43" s="17" t="s">
        <v>49</v>
      </c>
      <c r="E43" s="17" t="n">
        <v>0.5</v>
      </c>
      <c r="F43" s="17" t="s">
        <v>50</v>
      </c>
      <c r="G43" s="17" t="s">
        <v>44</v>
      </c>
      <c r="H43" s="18" t="s">
        <v>143</v>
      </c>
    </row>
    <row r="44" customFormat="false" ht="31.5" hidden="false" customHeight="true" outlineLevel="0" collapsed="false">
      <c r="A44" s="17" t="n">
        <v>5</v>
      </c>
      <c r="B44" s="18" t="s">
        <v>144</v>
      </c>
      <c r="C44" s="18" t="s">
        <v>145</v>
      </c>
      <c r="D44" s="17" t="s">
        <v>49</v>
      </c>
      <c r="E44" s="17" t="n">
        <v>0.7</v>
      </c>
      <c r="F44" s="17" t="s">
        <v>50</v>
      </c>
      <c r="G44" s="17" t="s">
        <v>44</v>
      </c>
      <c r="H44" s="18" t="s">
        <v>146</v>
      </c>
    </row>
    <row r="45" customFormat="false" ht="31.5" hidden="false" customHeight="true" outlineLevel="0" collapsed="false">
      <c r="A45" s="17" t="n">
        <v>6</v>
      </c>
      <c r="B45" s="18" t="s">
        <v>147</v>
      </c>
      <c r="C45" s="18" t="s">
        <v>148</v>
      </c>
      <c r="D45" s="17" t="s">
        <v>49</v>
      </c>
      <c r="E45" s="17" t="n">
        <v>0.5</v>
      </c>
      <c r="F45" s="17" t="s">
        <v>43</v>
      </c>
      <c r="G45" s="17" t="s">
        <v>44</v>
      </c>
      <c r="H45" s="18" t="s">
        <v>149</v>
      </c>
    </row>
    <row r="46" customFormat="false" ht="31.5" hidden="false" customHeight="true" outlineLevel="0" collapsed="false">
      <c r="A46" s="17" t="n">
        <v>6</v>
      </c>
      <c r="B46" s="18" t="s">
        <v>147</v>
      </c>
      <c r="C46" s="18" t="s">
        <v>150</v>
      </c>
      <c r="D46" s="17" t="s">
        <v>49</v>
      </c>
      <c r="E46" s="17" t="n">
        <v>1</v>
      </c>
      <c r="F46" s="17" t="s">
        <v>50</v>
      </c>
      <c r="G46" s="17" t="s">
        <v>44</v>
      </c>
      <c r="H46" s="18" t="s">
        <v>151</v>
      </c>
    </row>
    <row r="47" customFormat="false" ht="31.5" hidden="false" customHeight="true" outlineLevel="0" collapsed="false">
      <c r="A47" s="17" t="n">
        <v>6</v>
      </c>
      <c r="B47" s="18" t="s">
        <v>81</v>
      </c>
      <c r="C47" s="18" t="s">
        <v>152</v>
      </c>
      <c r="D47" s="17" t="s">
        <v>49</v>
      </c>
      <c r="E47" s="17" t="n">
        <v>0.7</v>
      </c>
      <c r="F47" s="17" t="s">
        <v>50</v>
      </c>
      <c r="G47" s="17" t="s">
        <v>44</v>
      </c>
      <c r="H47" s="18" t="s">
        <v>153</v>
      </c>
    </row>
    <row r="48" customFormat="false" ht="31.5" hidden="false" customHeight="true" outlineLevel="0" collapsed="false">
      <c r="A48" s="17" t="n">
        <v>6</v>
      </c>
      <c r="B48" s="18" t="s">
        <v>154</v>
      </c>
      <c r="C48" s="18" t="s">
        <v>155</v>
      </c>
      <c r="D48" s="17" t="s">
        <v>49</v>
      </c>
      <c r="E48" s="17" t="n">
        <v>1</v>
      </c>
      <c r="F48" s="17" t="s">
        <v>50</v>
      </c>
      <c r="G48" s="17" t="s">
        <v>44</v>
      </c>
      <c r="H48" s="18" t="s">
        <v>156</v>
      </c>
    </row>
    <row r="49" customFormat="false" ht="31.5" hidden="false" customHeight="true" outlineLevel="0" collapsed="false">
      <c r="A49" s="17" t="n">
        <v>6</v>
      </c>
      <c r="B49" s="18" t="s">
        <v>81</v>
      </c>
      <c r="C49" s="18" t="s">
        <v>157</v>
      </c>
      <c r="D49" s="17" t="s">
        <v>49</v>
      </c>
      <c r="E49" s="17" t="n">
        <v>0.7</v>
      </c>
      <c r="F49" s="17" t="s">
        <v>50</v>
      </c>
      <c r="G49" s="17" t="s">
        <v>44</v>
      </c>
      <c r="H49" s="18" t="s">
        <v>158</v>
      </c>
    </row>
    <row r="50" customFormat="false" ht="31.5" hidden="false" customHeight="true" outlineLevel="0" collapsed="false">
      <c r="A50" s="17" t="n">
        <v>6</v>
      </c>
      <c r="B50" s="18" t="s">
        <v>159</v>
      </c>
      <c r="C50" s="18" t="s">
        <v>160</v>
      </c>
      <c r="D50" s="17" t="s">
        <v>56</v>
      </c>
      <c r="E50" s="17" t="n">
        <v>1</v>
      </c>
      <c r="F50" s="17" t="s">
        <v>50</v>
      </c>
      <c r="G50" s="17" t="s">
        <v>44</v>
      </c>
      <c r="H50" s="18" t="s">
        <v>161</v>
      </c>
    </row>
    <row r="51" customFormat="false" ht="31.5" hidden="false" customHeight="true" outlineLevel="0" collapsed="false">
      <c r="A51" s="17" t="n">
        <v>6</v>
      </c>
      <c r="B51" s="18" t="s">
        <v>84</v>
      </c>
      <c r="C51" s="18" t="s">
        <v>162</v>
      </c>
      <c r="D51" s="17" t="s">
        <v>56</v>
      </c>
      <c r="E51" s="17" t="n">
        <v>0.5</v>
      </c>
      <c r="F51" s="17" t="s">
        <v>50</v>
      </c>
      <c r="G51" s="17" t="s">
        <v>44</v>
      </c>
      <c r="H51" s="18" t="s">
        <v>163</v>
      </c>
    </row>
    <row r="52" customFormat="false" ht="31.5" hidden="false" customHeight="true" outlineLevel="0" collapsed="false">
      <c r="A52" s="17" t="n">
        <v>6</v>
      </c>
      <c r="B52" s="18" t="s">
        <v>81</v>
      </c>
      <c r="C52" s="18" t="s">
        <v>164</v>
      </c>
      <c r="D52" s="17" t="s">
        <v>49</v>
      </c>
      <c r="E52" s="17" t="n">
        <v>0.5</v>
      </c>
      <c r="F52" s="17" t="s">
        <v>50</v>
      </c>
      <c r="G52" s="17" t="s">
        <v>44</v>
      </c>
      <c r="H52" s="18" t="s">
        <v>165</v>
      </c>
    </row>
    <row r="53" customFormat="false" ht="31.5" hidden="false" customHeight="true" outlineLevel="0" collapsed="false">
      <c r="A53" s="17" t="n">
        <v>6</v>
      </c>
      <c r="B53" s="18" t="s">
        <v>166</v>
      </c>
      <c r="C53" s="18" t="s">
        <v>167</v>
      </c>
      <c r="D53" s="17" t="s">
        <v>56</v>
      </c>
      <c r="E53" s="17" t="n">
        <v>0.7</v>
      </c>
      <c r="F53" s="17" t="s">
        <v>50</v>
      </c>
      <c r="G53" s="17" t="s">
        <v>44</v>
      </c>
      <c r="H53" s="18" t="s">
        <v>168</v>
      </c>
    </row>
    <row r="54" customFormat="false" ht="31.5" hidden="false" customHeight="true" outlineLevel="0" collapsed="false">
      <c r="A54" s="17" t="n">
        <v>6</v>
      </c>
      <c r="B54" s="18" t="s">
        <v>169</v>
      </c>
      <c r="C54" s="18" t="s">
        <v>170</v>
      </c>
      <c r="D54" s="17" t="s">
        <v>49</v>
      </c>
      <c r="E54" s="17" t="n">
        <v>0.5</v>
      </c>
      <c r="F54" s="17" t="s">
        <v>50</v>
      </c>
      <c r="G54" s="17" t="s">
        <v>171</v>
      </c>
      <c r="H54" s="18" t="s">
        <v>172</v>
      </c>
    </row>
    <row r="55" customFormat="false" ht="31.5" hidden="false" customHeight="true" outlineLevel="0" collapsed="false">
      <c r="A55" s="17" t="n">
        <v>7</v>
      </c>
      <c r="B55" s="18" t="s">
        <v>173</v>
      </c>
      <c r="C55" s="18" t="s">
        <v>174</v>
      </c>
      <c r="D55" s="17" t="s">
        <v>49</v>
      </c>
      <c r="E55" s="17" t="n">
        <v>0.7</v>
      </c>
      <c r="F55" s="17" t="s">
        <v>50</v>
      </c>
      <c r="G55" s="17" t="s">
        <v>44</v>
      </c>
      <c r="H55" s="18" t="s">
        <v>175</v>
      </c>
    </row>
    <row r="56" customFormat="false" ht="31.5" hidden="false" customHeight="true" outlineLevel="0" collapsed="false">
      <c r="A56" s="17" t="n">
        <v>7</v>
      </c>
      <c r="B56" s="18" t="s">
        <v>173</v>
      </c>
      <c r="C56" s="18" t="s">
        <v>176</v>
      </c>
      <c r="D56" s="17" t="s">
        <v>49</v>
      </c>
      <c r="E56" s="17" t="n">
        <v>0.3</v>
      </c>
      <c r="F56" s="17" t="s">
        <v>50</v>
      </c>
      <c r="G56" s="17" t="s">
        <v>44</v>
      </c>
      <c r="H56" s="18" t="s">
        <v>177</v>
      </c>
    </row>
    <row r="57" customFormat="false" ht="31.5" hidden="false" customHeight="true" outlineLevel="0" collapsed="false">
      <c r="A57" s="17" t="n">
        <v>7</v>
      </c>
      <c r="B57" s="18" t="s">
        <v>173</v>
      </c>
      <c r="C57" s="18" t="s">
        <v>178</v>
      </c>
      <c r="D57" s="17" t="s">
        <v>56</v>
      </c>
      <c r="E57" s="17" t="n">
        <v>0.3</v>
      </c>
      <c r="F57" s="17" t="s">
        <v>50</v>
      </c>
      <c r="G57" s="17" t="s">
        <v>44</v>
      </c>
      <c r="H57" s="18" t="s">
        <v>179</v>
      </c>
    </row>
    <row r="58" customFormat="false" ht="31.5" hidden="false" customHeight="true" outlineLevel="0" collapsed="false">
      <c r="A58" s="17" t="n">
        <v>7</v>
      </c>
      <c r="B58" s="18" t="s">
        <v>173</v>
      </c>
      <c r="C58" s="18" t="s">
        <v>180</v>
      </c>
      <c r="D58" s="17" t="s">
        <v>56</v>
      </c>
      <c r="E58" s="17" t="n">
        <v>0.2</v>
      </c>
      <c r="F58" s="17" t="s">
        <v>50</v>
      </c>
      <c r="G58" s="17" t="s">
        <v>44</v>
      </c>
      <c r="H58" s="18" t="s">
        <v>181</v>
      </c>
    </row>
    <row r="59" customFormat="false" ht="31.5" hidden="false" customHeight="true" outlineLevel="0" collapsed="false">
      <c r="A59" s="17" t="n">
        <v>7</v>
      </c>
      <c r="B59" s="18" t="s">
        <v>182</v>
      </c>
      <c r="C59" s="18" t="s">
        <v>183</v>
      </c>
      <c r="D59" s="17" t="s">
        <v>49</v>
      </c>
      <c r="E59" s="17" t="n">
        <v>0.5</v>
      </c>
      <c r="F59" s="17" t="s">
        <v>50</v>
      </c>
      <c r="G59" s="17" t="s">
        <v>44</v>
      </c>
      <c r="H59" s="18" t="s">
        <v>184</v>
      </c>
    </row>
    <row r="60" customFormat="false" ht="31.5" hidden="false" customHeight="true" outlineLevel="0" collapsed="false">
      <c r="A60" s="17" t="n">
        <v>7</v>
      </c>
      <c r="B60" s="18" t="s">
        <v>182</v>
      </c>
      <c r="C60" s="18" t="s">
        <v>185</v>
      </c>
      <c r="D60" s="17" t="s">
        <v>56</v>
      </c>
      <c r="E60" s="17" t="n">
        <v>0.5</v>
      </c>
      <c r="F60" s="17" t="s">
        <v>50</v>
      </c>
      <c r="G60" s="17" t="s">
        <v>44</v>
      </c>
      <c r="H60" s="18" t="s">
        <v>186</v>
      </c>
    </row>
    <row r="61" customFormat="false" ht="31.5" hidden="false" customHeight="true" outlineLevel="0" collapsed="false">
      <c r="A61" s="17" t="n">
        <v>7</v>
      </c>
      <c r="B61" s="18" t="s">
        <v>187</v>
      </c>
      <c r="C61" s="18" t="s">
        <v>188</v>
      </c>
      <c r="D61" s="17" t="s">
        <v>49</v>
      </c>
      <c r="E61" s="17" t="n">
        <v>1</v>
      </c>
      <c r="F61" s="17" t="s">
        <v>50</v>
      </c>
      <c r="G61" s="17" t="s">
        <v>44</v>
      </c>
      <c r="H61" s="18" t="s">
        <v>189</v>
      </c>
    </row>
    <row r="62" customFormat="false" ht="31.5" hidden="false" customHeight="true" outlineLevel="0" collapsed="false">
      <c r="A62" s="17" t="n">
        <v>7</v>
      </c>
      <c r="B62" s="18" t="s">
        <v>187</v>
      </c>
      <c r="C62" s="18" t="s">
        <v>190</v>
      </c>
      <c r="D62" s="17" t="s">
        <v>49</v>
      </c>
      <c r="E62" s="17" t="n">
        <v>0.5</v>
      </c>
      <c r="F62" s="17" t="s">
        <v>50</v>
      </c>
      <c r="G62" s="17" t="s">
        <v>44</v>
      </c>
      <c r="H62" s="18" t="s">
        <v>191</v>
      </c>
    </row>
    <row r="63" customFormat="false" ht="31.5" hidden="false" customHeight="true" outlineLevel="0" collapsed="false">
      <c r="A63" s="17" t="n">
        <v>7</v>
      </c>
      <c r="B63" s="18" t="s">
        <v>187</v>
      </c>
      <c r="C63" s="18" t="s">
        <v>192</v>
      </c>
      <c r="D63" s="17" t="s">
        <v>49</v>
      </c>
      <c r="E63" s="17" t="n">
        <v>0.5</v>
      </c>
      <c r="F63" s="17" t="s">
        <v>43</v>
      </c>
      <c r="G63" s="17" t="s">
        <v>193</v>
      </c>
      <c r="H63" s="18" t="s">
        <v>194</v>
      </c>
    </row>
    <row r="64" customFormat="false" ht="31.5" hidden="false" customHeight="true" outlineLevel="0" collapsed="false">
      <c r="A64" s="17" t="n">
        <v>7</v>
      </c>
      <c r="B64" s="18" t="s">
        <v>195</v>
      </c>
      <c r="C64" s="18" t="s">
        <v>196</v>
      </c>
      <c r="D64" s="17" t="s">
        <v>49</v>
      </c>
      <c r="E64" s="17" t="n">
        <v>0.7</v>
      </c>
      <c r="F64" s="17" t="s">
        <v>50</v>
      </c>
      <c r="G64" s="17" t="s">
        <v>91</v>
      </c>
      <c r="H64" s="18" t="s">
        <v>197</v>
      </c>
    </row>
    <row r="65" customFormat="false" ht="31.5" hidden="false" customHeight="true" outlineLevel="0" collapsed="false">
      <c r="A65" s="17" t="n">
        <v>7</v>
      </c>
      <c r="B65" s="18" t="s">
        <v>195</v>
      </c>
      <c r="C65" s="18" t="s">
        <v>198</v>
      </c>
      <c r="D65" s="17" t="s">
        <v>56</v>
      </c>
      <c r="E65" s="17" t="n">
        <v>0.2</v>
      </c>
      <c r="F65" s="17" t="s">
        <v>50</v>
      </c>
      <c r="G65" s="17" t="s">
        <v>44</v>
      </c>
      <c r="H65" s="18" t="s">
        <v>199</v>
      </c>
    </row>
    <row r="66" customFormat="false" ht="31.5" hidden="false" customHeight="true" outlineLevel="0" collapsed="false">
      <c r="A66" s="17" t="n">
        <v>7</v>
      </c>
      <c r="B66" s="18" t="s">
        <v>195</v>
      </c>
      <c r="C66" s="18" t="s">
        <v>200</v>
      </c>
      <c r="D66" s="17" t="s">
        <v>56</v>
      </c>
      <c r="E66" s="17" t="n">
        <v>0.5</v>
      </c>
      <c r="F66" s="17" t="s">
        <v>50</v>
      </c>
      <c r="G66" s="17" t="s">
        <v>91</v>
      </c>
      <c r="H66" s="18" t="s">
        <v>201</v>
      </c>
    </row>
    <row r="67" customFormat="false" ht="31.5" hidden="false" customHeight="true" outlineLevel="0" collapsed="false">
      <c r="A67" s="17" t="n">
        <v>7</v>
      </c>
      <c r="B67" s="18" t="s">
        <v>195</v>
      </c>
      <c r="C67" s="18" t="s">
        <v>202</v>
      </c>
      <c r="D67" s="17" t="s">
        <v>49</v>
      </c>
      <c r="E67" s="17" t="n">
        <v>0.7</v>
      </c>
      <c r="F67" s="17" t="s">
        <v>50</v>
      </c>
      <c r="G67" s="17" t="s">
        <v>171</v>
      </c>
      <c r="H67" s="18" t="s">
        <v>203</v>
      </c>
    </row>
    <row r="68" customFormat="false" ht="31.5" hidden="false" customHeight="true" outlineLevel="0" collapsed="false">
      <c r="A68" s="17" t="n">
        <v>7</v>
      </c>
      <c r="B68" s="18" t="s">
        <v>204</v>
      </c>
      <c r="C68" s="18" t="s">
        <v>205</v>
      </c>
      <c r="D68" s="17" t="s">
        <v>49</v>
      </c>
      <c r="E68" s="17" t="n">
        <v>0.5</v>
      </c>
      <c r="F68" s="17" t="s">
        <v>43</v>
      </c>
      <c r="G68" s="17" t="s">
        <v>206</v>
      </c>
      <c r="H68" s="18" t="s">
        <v>207</v>
      </c>
    </row>
    <row r="69" customFormat="false" ht="31.5" hidden="false" customHeight="true" outlineLevel="0" collapsed="false">
      <c r="A69" s="17" t="n">
        <v>7</v>
      </c>
      <c r="B69" s="18" t="s">
        <v>204</v>
      </c>
      <c r="C69" s="18" t="s">
        <v>208</v>
      </c>
      <c r="D69" s="17" t="s">
        <v>49</v>
      </c>
      <c r="E69" s="17" t="n">
        <v>0.3</v>
      </c>
      <c r="F69" s="17" t="s">
        <v>43</v>
      </c>
      <c r="G69" s="17" t="s">
        <v>206</v>
      </c>
      <c r="H69" s="18" t="s">
        <v>209</v>
      </c>
    </row>
    <row r="70" customFormat="false" ht="31.5" hidden="false" customHeight="true" outlineLevel="0" collapsed="false">
      <c r="A70" s="17" t="n">
        <v>7</v>
      </c>
      <c r="B70" s="18" t="s">
        <v>204</v>
      </c>
      <c r="C70" s="18" t="s">
        <v>210</v>
      </c>
      <c r="D70" s="17" t="s">
        <v>49</v>
      </c>
      <c r="E70" s="17" t="n">
        <v>0.7</v>
      </c>
      <c r="F70" s="17" t="s">
        <v>50</v>
      </c>
      <c r="G70" s="17" t="s">
        <v>44</v>
      </c>
      <c r="H70" s="18" t="s">
        <v>211</v>
      </c>
    </row>
    <row r="71" customFormat="false" ht="31.5" hidden="false" customHeight="true" outlineLevel="0" collapsed="false">
      <c r="A71" s="17" t="n">
        <v>7</v>
      </c>
      <c r="B71" s="18" t="s">
        <v>212</v>
      </c>
      <c r="C71" s="18" t="s">
        <v>213</v>
      </c>
      <c r="D71" s="17" t="s">
        <v>49</v>
      </c>
      <c r="E71" s="17" t="n">
        <v>1</v>
      </c>
      <c r="F71" s="17" t="s">
        <v>43</v>
      </c>
      <c r="G71" s="17" t="s">
        <v>206</v>
      </c>
      <c r="H71" s="18" t="s">
        <v>214</v>
      </c>
    </row>
    <row r="72" customFormat="false" ht="31.5" hidden="false" customHeight="true" outlineLevel="0" collapsed="false">
      <c r="A72" s="17" t="n">
        <v>7</v>
      </c>
      <c r="B72" s="18" t="s">
        <v>215</v>
      </c>
      <c r="C72" s="18" t="s">
        <v>216</v>
      </c>
      <c r="D72" s="17" t="s">
        <v>49</v>
      </c>
      <c r="E72" s="17" t="n">
        <v>0.3</v>
      </c>
      <c r="F72" s="17" t="s">
        <v>43</v>
      </c>
      <c r="G72" s="17" t="s">
        <v>193</v>
      </c>
      <c r="H72" s="18" t="s">
        <v>217</v>
      </c>
    </row>
    <row r="73" customFormat="false" ht="31.5" hidden="false" customHeight="true" outlineLevel="0" collapsed="false">
      <c r="A73" s="17" t="n">
        <v>7</v>
      </c>
      <c r="B73" s="18" t="s">
        <v>215</v>
      </c>
      <c r="C73" s="18" t="s">
        <v>218</v>
      </c>
      <c r="D73" s="17" t="s">
        <v>42</v>
      </c>
      <c r="E73" s="17" t="n">
        <v>0.7</v>
      </c>
      <c r="F73" s="17" t="s">
        <v>43</v>
      </c>
      <c r="G73" s="17" t="s">
        <v>193</v>
      </c>
      <c r="H73" s="18" t="s">
        <v>219</v>
      </c>
    </row>
    <row r="74" customFormat="false" ht="31.5" hidden="false" customHeight="true" outlineLevel="0" collapsed="false">
      <c r="A74" s="17" t="n">
        <v>7</v>
      </c>
      <c r="B74" s="18" t="s">
        <v>215</v>
      </c>
      <c r="C74" s="18" t="s">
        <v>220</v>
      </c>
      <c r="D74" s="17" t="s">
        <v>49</v>
      </c>
      <c r="E74" s="17" t="n">
        <v>0.5</v>
      </c>
      <c r="F74" s="17" t="s">
        <v>43</v>
      </c>
      <c r="G74" s="17" t="s">
        <v>171</v>
      </c>
      <c r="H74" s="18" t="s">
        <v>221</v>
      </c>
    </row>
    <row r="75" customFormat="false" ht="31.5" hidden="false" customHeight="true" outlineLevel="0" collapsed="false">
      <c r="A75" s="17" t="n">
        <v>7</v>
      </c>
      <c r="B75" s="18" t="s">
        <v>141</v>
      </c>
      <c r="C75" s="18" t="s">
        <v>222</v>
      </c>
      <c r="D75" s="17" t="s">
        <v>49</v>
      </c>
      <c r="E75" s="17" t="n">
        <v>0.3</v>
      </c>
      <c r="F75" s="17" t="s">
        <v>43</v>
      </c>
      <c r="G75" s="17" t="s">
        <v>193</v>
      </c>
      <c r="H75" s="18" t="s">
        <v>223</v>
      </c>
    </row>
    <row r="76" customFormat="false" ht="31.5" hidden="false" customHeight="true" outlineLevel="0" collapsed="false">
      <c r="A76" s="17" t="n">
        <v>7</v>
      </c>
      <c r="B76" s="18" t="s">
        <v>141</v>
      </c>
      <c r="C76" s="18" t="s">
        <v>224</v>
      </c>
      <c r="D76" s="17" t="s">
        <v>56</v>
      </c>
      <c r="E76" s="17" t="n">
        <v>0.3</v>
      </c>
      <c r="F76" s="17" t="s">
        <v>43</v>
      </c>
      <c r="G76" s="17" t="s">
        <v>193</v>
      </c>
      <c r="H76" s="18" t="s">
        <v>225</v>
      </c>
    </row>
    <row r="77" customFormat="false" ht="15" hidden="false" customHeight="true" outlineLevel="0" collapsed="false">
      <c r="A77" s="17" t="n">
        <v>7</v>
      </c>
      <c r="B77" s="18" t="s">
        <v>226</v>
      </c>
      <c r="C77" s="18" t="s">
        <v>227</v>
      </c>
      <c r="D77" s="17" t="s">
        <v>56</v>
      </c>
      <c r="E77" s="17" t="n">
        <v>0.3</v>
      </c>
      <c r="F77" s="17" t="s">
        <v>43</v>
      </c>
      <c r="G77" s="17" t="s">
        <v>193</v>
      </c>
      <c r="H77" s="18" t="s">
        <v>228</v>
      </c>
    </row>
    <row r="78" customFormat="false" ht="15" hidden="false" customHeight="true" outlineLevel="0" collapsed="false"/>
    <row r="79" customFormat="false" ht="15" hidden="false" customHeight="true" outlineLevel="0" collapsed="false">
      <c r="D79" s="19" t="s">
        <v>229</v>
      </c>
      <c r="E79" s="20" t="n">
        <f aca="false">SUM(E4:E77)</f>
        <v>54</v>
      </c>
    </row>
    <row r="80" customFormat="false" ht="15" hidden="false" customHeight="true" outlineLevel="0" collapsed="false">
      <c r="D80" s="19" t="s">
        <v>230</v>
      </c>
      <c r="E80" s="21" t="n">
        <f aca="false">COUNTIF(G4:G77,"Concluído")</f>
        <v>54</v>
      </c>
    </row>
    <row r="81" customFormat="false" ht="15" hidden="false" customHeight="true" outlineLevel="0" collapsed="false">
      <c r="D81" s="19" t="s">
        <v>231</v>
      </c>
      <c r="E81" s="22" t="n">
        <f aca="false">IFERROR(COUNTIF(G4:G77,"Concluído")/COUNTA(G4:G77),0)</f>
        <v>0.72972972972973</v>
      </c>
    </row>
  </sheetData>
  <mergeCells count="1">
    <mergeCell ref="A1:H1"/>
  </mergeCells>
  <conditionalFormatting sqref="G4:G76">
    <cfRule type="cellIs" priority="2" operator="equal" aboveAverage="0" equalAverage="0" bottom="0" percent="0" rank="0" text="" dxfId="0">
      <formula>"Concluído"</formula>
    </cfRule>
    <cfRule type="cellIs" priority="3" operator="equal" aboveAverage="0" equalAverage="0" bottom="0" percent="0" rank="0" text="" dxfId="1">
      <formula>"Em andamento"</formula>
    </cfRule>
    <cfRule type="cellIs" priority="4" operator="equal" aboveAverage="0" equalAverage="0" bottom="0" percent="0" rank="0" text="" dxfId="2">
      <formula>"Bloqueado"</formula>
    </cfRule>
    <cfRule type="cellIs" priority="5" operator="equal" aboveAverage="0" equalAverage="0" bottom="0" percent="0" rank="0" text="" dxfId="3">
      <formula>"A fazer"</formula>
    </cfRule>
  </conditionalFormatting>
  <conditionalFormatting sqref="D4:D76">
    <cfRule type="cellIs" priority="6" operator="equal" aboveAverage="0" equalAverage="0" bottom="0" percent="0" rank="0" text="" dxfId="4">
      <formula>"Crítica"</formula>
    </cfRule>
    <cfRule type="cellIs" priority="7" operator="equal" aboveAverage="0" equalAverage="0" bottom="0" percent="0" rank="0" text="" dxfId="5">
      <formula>"Alta"</formula>
    </cfRule>
  </conditionalFormatting>
  <conditionalFormatting sqref="A4:H76">
    <cfRule type="expression" priority="8" aboveAverage="0" equalAverage="0" bottom="0" percent="0" rank="0" text="" dxfId="6">
      <formula>MOD(ROW(),2)=0</formula>
    </cfRule>
  </conditionalFormatting>
  <dataValidations count="3">
    <dataValidation allowBlank="false" errorStyle="stop" operator="between" showDropDown="false" showErrorMessage="false" showInputMessage="false" sqref="G4:G76" type="list">
      <formula1>"A fazer,Em andamento,Concluído,Bloqueado"</formula1>
      <formula2>0</formula2>
    </dataValidation>
    <dataValidation allowBlank="true" errorStyle="stop" operator="between" showDropDown="false" showErrorMessage="false" showInputMessage="false" sqref="D4:D76" type="list">
      <formula1>"Crítica,Alta,Média,Baixa"</formula1>
      <formula2>0</formula2>
    </dataValidation>
    <dataValidation allowBlank="true" errorStyle="stop" operator="between" showDropDown="false" showErrorMessage="false" showInputMessage="false" sqref="F4:F76" type="list">
      <formula1>"Miguel,Cowork,Cowork+Miguel"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60"/>
    <col collapsed="false" customWidth="true" hidden="false" outlineLevel="0" max="3" min="3" style="1" width="18"/>
    <col collapsed="false" customWidth="true" hidden="false" outlineLevel="0" max="4" min="4" style="1" width="32"/>
    <col collapsed="false" customWidth="true" hidden="false" outlineLevel="0" max="5" min="5" style="1" width="14"/>
    <col collapsed="false" customWidth="true" hidden="false" outlineLevel="0" max="6" min="6" style="1" width="38"/>
    <col collapsed="false" customWidth="true" hidden="false" outlineLevel="0" max="7" min="7" style="1" width="36"/>
  </cols>
  <sheetData>
    <row r="1" customFormat="false" ht="31.5" hidden="false" customHeight="true" outlineLevel="0" collapsed="false">
      <c r="A1" s="15" t="s">
        <v>232</v>
      </c>
      <c r="B1" s="15"/>
      <c r="C1" s="15"/>
      <c r="D1" s="15"/>
      <c r="E1" s="15"/>
      <c r="F1" s="15"/>
      <c r="G1" s="15"/>
    </row>
    <row r="3" customFormat="false" ht="25.5" hidden="false" customHeight="true" outlineLevel="0" collapsed="false">
      <c r="A3" s="16" t="s">
        <v>233</v>
      </c>
      <c r="B3" s="16" t="s">
        <v>234</v>
      </c>
      <c r="C3" s="16" t="s">
        <v>235</v>
      </c>
      <c r="D3" s="16" t="s">
        <v>236</v>
      </c>
      <c r="E3" s="16" t="s">
        <v>38</v>
      </c>
      <c r="F3" s="16" t="s">
        <v>237</v>
      </c>
      <c r="G3" s="16" t="s">
        <v>238</v>
      </c>
    </row>
    <row r="4" customFormat="false" ht="39.75" hidden="false" customHeight="true" outlineLevel="0" collapsed="false">
      <c r="A4" s="17" t="s">
        <v>239</v>
      </c>
      <c r="B4" s="18" t="s">
        <v>240</v>
      </c>
      <c r="C4" s="17" t="s">
        <v>241</v>
      </c>
      <c r="D4" s="17" t="s">
        <v>242</v>
      </c>
      <c r="E4" s="17" t="s">
        <v>243</v>
      </c>
      <c r="F4" s="18" t="s">
        <v>244</v>
      </c>
      <c r="G4" s="18" t="s">
        <v>245</v>
      </c>
    </row>
    <row r="5" customFormat="false" ht="39.75" hidden="false" customHeight="true" outlineLevel="0" collapsed="false">
      <c r="A5" s="17" t="s">
        <v>239</v>
      </c>
      <c r="B5" s="18" t="s">
        <v>246</v>
      </c>
      <c r="C5" s="17" t="s">
        <v>247</v>
      </c>
      <c r="D5" s="17" t="s">
        <v>248</v>
      </c>
      <c r="E5" s="17" t="s">
        <v>243</v>
      </c>
      <c r="F5" s="18" t="s">
        <v>249</v>
      </c>
      <c r="G5" s="18" t="s">
        <v>250</v>
      </c>
    </row>
    <row r="6" customFormat="false" ht="39.75" hidden="false" customHeight="true" outlineLevel="0" collapsed="false">
      <c r="A6" s="17" t="s">
        <v>239</v>
      </c>
      <c r="B6" s="18" t="s">
        <v>251</v>
      </c>
      <c r="C6" s="17" t="s">
        <v>87</v>
      </c>
      <c r="D6" s="17" t="s">
        <v>252</v>
      </c>
      <c r="E6" s="17" t="s">
        <v>243</v>
      </c>
      <c r="F6" s="18" t="s">
        <v>253</v>
      </c>
      <c r="G6" s="18" t="s">
        <v>254</v>
      </c>
    </row>
    <row r="7" customFormat="false" ht="39.75" hidden="false" customHeight="true" outlineLevel="0" collapsed="false">
      <c r="A7" s="17" t="s">
        <v>255</v>
      </c>
      <c r="B7" s="18" t="s">
        <v>256</v>
      </c>
      <c r="C7" s="17" t="s">
        <v>257</v>
      </c>
      <c r="D7" s="17" t="s">
        <v>258</v>
      </c>
      <c r="E7" s="17" t="s">
        <v>259</v>
      </c>
      <c r="F7" s="18" t="s">
        <v>260</v>
      </c>
      <c r="G7" s="18" t="s">
        <v>261</v>
      </c>
    </row>
    <row r="8" customFormat="false" ht="39.75" hidden="false" customHeight="true" outlineLevel="0" collapsed="false">
      <c r="A8" s="17" t="s">
        <v>255</v>
      </c>
      <c r="B8" s="18" t="s">
        <v>262</v>
      </c>
      <c r="C8" s="17" t="s">
        <v>263</v>
      </c>
      <c r="D8" s="17" t="s">
        <v>264</v>
      </c>
      <c r="E8" s="17" t="s">
        <v>259</v>
      </c>
      <c r="F8" s="18" t="s">
        <v>265</v>
      </c>
      <c r="G8" s="18" t="s">
        <v>266</v>
      </c>
    </row>
    <row r="9" customFormat="false" ht="39.75" hidden="false" customHeight="true" outlineLevel="0" collapsed="false">
      <c r="A9" s="17" t="s">
        <v>131</v>
      </c>
      <c r="B9" s="18" t="s">
        <v>267</v>
      </c>
      <c r="C9" s="17" t="s">
        <v>268</v>
      </c>
      <c r="D9" s="17" t="s">
        <v>269</v>
      </c>
      <c r="E9" s="17" t="s">
        <v>243</v>
      </c>
      <c r="F9" s="18" t="s">
        <v>270</v>
      </c>
      <c r="G9" s="18" t="s">
        <v>271</v>
      </c>
    </row>
  </sheetData>
  <mergeCells count="1">
    <mergeCell ref="A1:G1"/>
  </mergeCells>
  <conditionalFormatting sqref="E4:E9">
    <cfRule type="cellIs" priority="2" operator="equal" aboveAverage="0" equalAverage="0" bottom="0" percent="0" rank="0" text="" dxfId="0">
      <formula>"Publicado"</formula>
    </cfRule>
    <cfRule type="cellIs" priority="3" operator="equal" aboveAverage="0" equalAverage="0" bottom="0" percent="0" rank="0" text="" dxfId="1">
      <formula>"Em revisão"</formula>
    </cfRule>
  </conditionalFormatting>
  <dataValidations count="1">
    <dataValidation allowBlank="false" errorStyle="stop" operator="between" showDropDown="false" showErrorMessage="false" showInputMessage="false" sqref="E4:E9" type="list">
      <formula1>"Backlog,A escrever,Em revisão,Publicado"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0"/>
    <col collapsed="false" customWidth="true" hidden="false" outlineLevel="0" max="3" min="3" style="1" width="18"/>
  </cols>
  <sheetData>
    <row r="1" customFormat="false" ht="31.5" hidden="false" customHeight="true" outlineLevel="0" collapsed="false">
      <c r="A1" s="15" t="s">
        <v>272</v>
      </c>
      <c r="B1" s="15"/>
      <c r="C1" s="15"/>
    </row>
    <row r="2" customFormat="false" ht="21.75" hidden="false" customHeight="true" outlineLevel="0" collapsed="false">
      <c r="A2" s="3" t="s">
        <v>273</v>
      </c>
      <c r="B2" s="3"/>
      <c r="C2" s="3"/>
    </row>
    <row r="4" customFormat="false" ht="25.5" hidden="false" customHeight="true" outlineLevel="0" collapsed="false">
      <c r="A4" s="16" t="s">
        <v>274</v>
      </c>
      <c r="B4" s="16" t="s">
        <v>275</v>
      </c>
      <c r="C4" s="16" t="s">
        <v>38</v>
      </c>
    </row>
    <row r="5" customFormat="false" ht="27.75" hidden="false" customHeight="true" outlineLevel="0" collapsed="false">
      <c r="A5" s="17" t="s">
        <v>276</v>
      </c>
      <c r="B5" s="18" t="s">
        <v>277</v>
      </c>
      <c r="C5" s="17" t="s">
        <v>44</v>
      </c>
    </row>
    <row r="6" customFormat="false" ht="27.75" hidden="false" customHeight="true" outlineLevel="0" collapsed="false">
      <c r="A6" s="17" t="s">
        <v>276</v>
      </c>
      <c r="B6" s="18" t="s">
        <v>278</v>
      </c>
      <c r="C6" s="17" t="s">
        <v>44</v>
      </c>
    </row>
    <row r="7" customFormat="false" ht="27.75" hidden="false" customHeight="true" outlineLevel="0" collapsed="false">
      <c r="A7" s="17" t="s">
        <v>279</v>
      </c>
      <c r="B7" s="18" t="s">
        <v>280</v>
      </c>
      <c r="C7" s="17" t="s">
        <v>44</v>
      </c>
    </row>
    <row r="8" customFormat="false" ht="27.75" hidden="false" customHeight="true" outlineLevel="0" collapsed="false">
      <c r="A8" s="17" t="s">
        <v>281</v>
      </c>
      <c r="B8" s="18" t="s">
        <v>282</v>
      </c>
      <c r="C8" s="17" t="s">
        <v>44</v>
      </c>
    </row>
    <row r="9" customFormat="false" ht="27.75" hidden="false" customHeight="true" outlineLevel="0" collapsed="false">
      <c r="A9" s="17" t="s">
        <v>281</v>
      </c>
      <c r="B9" s="18" t="s">
        <v>283</v>
      </c>
      <c r="C9" s="17" t="s">
        <v>44</v>
      </c>
    </row>
    <row r="10" customFormat="false" ht="27.75" hidden="false" customHeight="true" outlineLevel="0" collapsed="false">
      <c r="A10" s="17" t="s">
        <v>122</v>
      </c>
      <c r="B10" s="18" t="s">
        <v>284</v>
      </c>
      <c r="C10" s="17" t="s">
        <v>285</v>
      </c>
    </row>
    <row r="11" customFormat="false" ht="27.75" hidden="false" customHeight="true" outlineLevel="0" collapsed="false">
      <c r="A11" s="17" t="s">
        <v>122</v>
      </c>
      <c r="B11" s="18" t="s">
        <v>286</v>
      </c>
      <c r="C11" s="17" t="s">
        <v>285</v>
      </c>
    </row>
    <row r="12" customFormat="false" ht="27.75" hidden="false" customHeight="true" outlineLevel="0" collapsed="false">
      <c r="A12" s="17" t="s">
        <v>141</v>
      </c>
      <c r="B12" s="18" t="s">
        <v>287</v>
      </c>
      <c r="C12" s="17" t="s">
        <v>44</v>
      </c>
    </row>
    <row r="13" customFormat="false" ht="27.75" hidden="false" customHeight="true" outlineLevel="0" collapsed="false">
      <c r="A13" s="17" t="s">
        <v>195</v>
      </c>
      <c r="B13" s="18" t="s">
        <v>288</v>
      </c>
      <c r="C13" s="17" t="s">
        <v>289</v>
      </c>
    </row>
    <row r="14" customFormat="false" ht="27.75" hidden="false" customHeight="true" outlineLevel="0" collapsed="false">
      <c r="A14" s="17" t="s">
        <v>195</v>
      </c>
      <c r="B14" s="18" t="s">
        <v>290</v>
      </c>
      <c r="C14" s="17" t="s">
        <v>289</v>
      </c>
    </row>
    <row r="15" customFormat="false" ht="27.75" hidden="false" customHeight="true" outlineLevel="0" collapsed="false">
      <c r="A15" s="17" t="s">
        <v>182</v>
      </c>
      <c r="B15" s="18" t="s">
        <v>291</v>
      </c>
      <c r="C15" s="17" t="s">
        <v>292</v>
      </c>
    </row>
    <row r="16" customFormat="false" ht="27.75" hidden="false" customHeight="true" outlineLevel="0" collapsed="false">
      <c r="A16" s="17" t="s">
        <v>204</v>
      </c>
      <c r="B16" s="18" t="s">
        <v>293</v>
      </c>
      <c r="C16" s="17" t="s">
        <v>292</v>
      </c>
    </row>
    <row r="17" customFormat="false" ht="27.75" hidden="false" customHeight="true" outlineLevel="0" collapsed="false">
      <c r="A17" s="17" t="s">
        <v>215</v>
      </c>
      <c r="B17" s="18" t="s">
        <v>294</v>
      </c>
      <c r="C17" s="17" t="s">
        <v>295</v>
      </c>
    </row>
    <row r="18" customFormat="false" ht="27.75" hidden="false" customHeight="true" outlineLevel="0" collapsed="false">
      <c r="A18" s="17" t="s">
        <v>215</v>
      </c>
      <c r="B18" s="18" t="s">
        <v>296</v>
      </c>
      <c r="C18" s="17" t="s">
        <v>295</v>
      </c>
    </row>
    <row r="20" customFormat="false" ht="15" hidden="false" customHeight="true" outlineLevel="0" collapsed="false">
      <c r="A20" s="23" t="s">
        <v>297</v>
      </c>
      <c r="B20" s="24" t="str">
        <f aca="false">COUNTIF(C5:C18,"Concluído")&amp;" / "&amp;COUNTA(C5:C18)</f>
        <v>6 / 14</v>
      </c>
    </row>
    <row r="21" customFormat="false" ht="15" hidden="false" customHeight="true" outlineLevel="0" collapsed="false">
      <c r="A21" s="23" t="s">
        <v>298</v>
      </c>
      <c r="B21" s="25" t="n">
        <f aca="false">IFERROR(COUNTIF(C5:C18,"Concluído")/COUNTA(C5:C18),0)</f>
        <v>0.428571428571429</v>
      </c>
    </row>
  </sheetData>
  <mergeCells count="2">
    <mergeCell ref="A1:C1"/>
    <mergeCell ref="A2:C2"/>
  </mergeCells>
  <conditionalFormatting sqref="C5:C18">
    <cfRule type="cellIs" priority="2" operator="equal" aboveAverage="0" equalAverage="0" bottom="0" percent="0" rank="0" text="" dxfId="0">
      <formula>"Concluído"</formula>
    </cfRule>
    <cfRule type="cellIs" priority="3" operator="equal" aboveAverage="0" equalAverage="0" bottom="0" percent="0" rank="0" text="" dxfId="1">
      <formula>"Em andamento"</formula>
    </cfRule>
    <cfRule type="cellIs" priority="4" operator="equal" aboveAverage="0" equalAverage="0" bottom="0" percent="0" rank="0" text="" dxfId="2">
      <formula>"Bloqueado"</formula>
    </cfRule>
  </conditionalFormatting>
  <dataValidations count="1">
    <dataValidation allowBlank="false" errorStyle="stop" operator="between" showDropDown="false" showErrorMessage="false" showInputMessage="false" sqref="C5:C18" type="list">
      <formula1>"A fazer,Em andamento,Concluído,Bloqueado"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95"/>
  </cols>
  <sheetData>
    <row r="1" customFormat="false" ht="31.5" hidden="false" customHeight="true" outlineLevel="0" collapsed="false">
      <c r="A1" s="15" t="s">
        <v>299</v>
      </c>
      <c r="B1" s="15"/>
    </row>
    <row r="3" customFormat="false" ht="37.5" hidden="false" customHeight="true" outlineLevel="0" collapsed="false">
      <c r="A3" s="26" t="s">
        <v>300</v>
      </c>
      <c r="B3" s="27" t="s">
        <v>301</v>
      </c>
    </row>
    <row r="4" customFormat="false" ht="37.5" hidden="false" customHeight="true" outlineLevel="0" collapsed="false">
      <c r="A4" s="26" t="s">
        <v>302</v>
      </c>
      <c r="B4" s="27" t="s">
        <v>303</v>
      </c>
    </row>
    <row r="5" customFormat="false" ht="37.5" hidden="false" customHeight="true" outlineLevel="0" collapsed="false">
      <c r="A5" s="26" t="s">
        <v>304</v>
      </c>
      <c r="B5" s="27" t="s">
        <v>305</v>
      </c>
    </row>
    <row r="6" customFormat="false" ht="37.5" hidden="false" customHeight="true" outlineLevel="0" collapsed="false">
      <c r="A6" s="26" t="s">
        <v>306</v>
      </c>
      <c r="B6" s="27" t="s">
        <v>307</v>
      </c>
    </row>
    <row r="7" customFormat="false" ht="37.5" hidden="false" customHeight="true" outlineLevel="0" collapsed="false">
      <c r="A7" s="26" t="s">
        <v>308</v>
      </c>
      <c r="B7" s="27" t="s">
        <v>309</v>
      </c>
    </row>
    <row r="8" customFormat="false" ht="37.5" hidden="false" customHeight="true" outlineLevel="0" collapsed="false">
      <c r="A8" s="26" t="s">
        <v>310</v>
      </c>
      <c r="B8" s="27" t="s">
        <v>311</v>
      </c>
    </row>
    <row r="9" customFormat="false" ht="37.5" hidden="false" customHeight="true" outlineLevel="0" collapsed="false">
      <c r="A9" s="26" t="s">
        <v>312</v>
      </c>
      <c r="B9" s="27" t="s">
        <v>313</v>
      </c>
    </row>
    <row r="10" customFormat="false" ht="37.5" hidden="false" customHeight="true" outlineLevel="0" collapsed="false">
      <c r="A10" s="26" t="s">
        <v>314</v>
      </c>
      <c r="B10" s="27" t="s">
        <v>315</v>
      </c>
    </row>
    <row r="11" customFormat="false" ht="37.5" hidden="false" customHeight="true" outlineLevel="0" collapsed="false">
      <c r="A11" s="26" t="s">
        <v>316</v>
      </c>
      <c r="B11" s="27" t="s">
        <v>317</v>
      </c>
    </row>
    <row r="12" customFormat="false" ht="37.5" hidden="false" customHeight="true" outlineLevel="0" collapsed="false">
      <c r="A12" s="26" t="s">
        <v>318</v>
      </c>
      <c r="B12" s="27" t="s">
        <v>319</v>
      </c>
    </row>
    <row r="13" customFormat="false" ht="37.5" hidden="false" customHeight="true" outlineLevel="0" collapsed="false">
      <c r="A13" s="26" t="s">
        <v>320</v>
      </c>
      <c r="B13" s="27" t="s">
        <v>321</v>
      </c>
    </row>
    <row r="14" customFormat="false" ht="37.5" hidden="false" customHeight="true" outlineLevel="0" collapsed="false">
      <c r="A14" s="26" t="s">
        <v>322</v>
      </c>
      <c r="B14" s="27" t="s">
        <v>323</v>
      </c>
    </row>
    <row r="15" customFormat="false" ht="37.5" hidden="false" customHeight="true" outlineLevel="0" collapsed="false">
      <c r="A15" s="26" t="s">
        <v>324</v>
      </c>
      <c r="B15" s="27" t="s">
        <v>325</v>
      </c>
    </row>
    <row r="16" customFormat="false" ht="37.5" hidden="false" customHeight="true" outlineLevel="0" collapsed="false">
      <c r="A16" s="26" t="s">
        <v>326</v>
      </c>
      <c r="B16" s="27" t="s">
        <v>327</v>
      </c>
    </row>
    <row r="17" customFormat="false" ht="37.5" hidden="false" customHeight="true" outlineLevel="0" collapsed="false">
      <c r="A17" s="26" t="s">
        <v>328</v>
      </c>
      <c r="B17" s="27" t="s">
        <v>329</v>
      </c>
    </row>
    <row r="18" customFormat="false" ht="37.5" hidden="false" customHeight="true" outlineLevel="0" collapsed="false">
      <c r="A18" s="26" t="s">
        <v>330</v>
      </c>
      <c r="B18" s="27" t="s">
        <v>331</v>
      </c>
    </row>
    <row r="19" customFormat="false" ht="37.5" hidden="false" customHeight="true" outlineLevel="0" collapsed="false">
      <c r="A19" s="26" t="s">
        <v>332</v>
      </c>
      <c r="B19" s="27" t="s">
        <v>333</v>
      </c>
    </row>
    <row r="20" customFormat="false" ht="37.5" hidden="false" customHeight="true" outlineLevel="0" collapsed="false">
      <c r="A20" s="26" t="s">
        <v>116</v>
      </c>
      <c r="B20" s="27" t="s">
        <v>334</v>
      </c>
    </row>
    <row r="21" customFormat="false" ht="37.5" hidden="false" customHeight="true" outlineLevel="0" collapsed="false">
      <c r="A21" s="26" t="s">
        <v>335</v>
      </c>
      <c r="B21" s="27" t="s">
        <v>336</v>
      </c>
    </row>
    <row r="22" customFormat="false" ht="37.5" hidden="false" customHeight="true" outlineLevel="0" collapsed="false">
      <c r="A22" s="26" t="s">
        <v>131</v>
      </c>
      <c r="B22" s="27" t="s">
        <v>337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2026-05-04T19:56:30Z</dcterms:created>
  <dc:creator>openpyxl</dc:creator>
  <dc:description/>
  <dc:language>en-US</dc:language>
  <cp:lastModifiedBy>Miguel Vieira</cp:lastModifiedBy>
  <dcterms:modified xsi:type="dcterms:W3CDTF">2026-05-04T22:58:13Z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